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\OneDrive\Desktop\JHOANES BAKERY\ORDENES WHOLESALE\JUNIO\MIERCOLES 17\"/>
    </mc:Choice>
  </mc:AlternateContent>
  <xr:revisionPtr revIDLastSave="0" documentId="13_ncr:1_{60731637-E2B5-4266-AB82-DF4DD074FF1A}" xr6:coauthVersionLast="47" xr6:coauthVersionMax="47" xr10:uidLastSave="{00000000-0000-0000-0000-000000000000}"/>
  <bookViews>
    <workbookView xWindow="28680" yWindow="1725" windowWidth="29040" windowHeight="15720" activeTab="1" xr2:uid="{00000000-000D-0000-FFFF-FFFF00000000}"/>
  </bookViews>
  <sheets>
    <sheet name="CROISSANTS" sheetId="1" r:id="rId1"/>
    <sheet name="FRUIT DESSERTS" sheetId="3" r:id="rId2"/>
    <sheet name="TARTAS" sheetId="4" r:id="rId3"/>
    <sheet name="DESSERTS" sheetId="5" r:id="rId4"/>
    <sheet name="CAKES SLICES" sheetId="8" r:id="rId5"/>
    <sheet name="TRES LECHES PARTY TRAY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I5" i="9"/>
  <c r="C7" i="9"/>
  <c r="D7" i="9"/>
  <c r="E7" i="9"/>
  <c r="F7" i="9"/>
  <c r="G7" i="9"/>
  <c r="H7" i="9"/>
  <c r="B7" i="9"/>
  <c r="I6" i="8"/>
  <c r="I7" i="8"/>
  <c r="I8" i="8"/>
  <c r="I9" i="8"/>
  <c r="I5" i="8"/>
  <c r="C10" i="8"/>
  <c r="D10" i="8"/>
  <c r="E10" i="8"/>
  <c r="F10" i="8"/>
  <c r="G10" i="8"/>
  <c r="H10" i="8"/>
  <c r="B10" i="8"/>
  <c r="I7" i="5"/>
  <c r="I8" i="5"/>
  <c r="I9" i="5"/>
  <c r="I10" i="5"/>
  <c r="I11" i="5"/>
  <c r="I12" i="5"/>
  <c r="I6" i="5"/>
  <c r="C13" i="5"/>
  <c r="D13" i="5"/>
  <c r="E13" i="5"/>
  <c r="F13" i="5"/>
  <c r="G13" i="5"/>
  <c r="H13" i="5"/>
  <c r="I13" i="5"/>
  <c r="B13" i="5"/>
  <c r="I7" i="4"/>
  <c r="I8" i="4"/>
  <c r="I6" i="4"/>
  <c r="C9" i="4"/>
  <c r="D9" i="4"/>
  <c r="E9" i="4"/>
  <c r="F9" i="4"/>
  <c r="G9" i="4"/>
  <c r="H9" i="4"/>
  <c r="B9" i="4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6" i="3"/>
  <c r="C24" i="3"/>
  <c r="D24" i="3"/>
  <c r="E24" i="3"/>
  <c r="F24" i="3"/>
  <c r="G24" i="3"/>
  <c r="H24" i="3"/>
  <c r="B24" i="3"/>
  <c r="C37" i="1"/>
  <c r="D37" i="1"/>
  <c r="E37" i="1"/>
  <c r="F37" i="1"/>
  <c r="G37" i="1"/>
  <c r="H37" i="1"/>
  <c r="I37" i="1"/>
  <c r="B37" i="1"/>
  <c r="I26" i="1"/>
  <c r="I27" i="1"/>
  <c r="I28" i="1"/>
  <c r="I29" i="1"/>
  <c r="I30" i="1"/>
  <c r="I31" i="1"/>
  <c r="I32" i="1"/>
  <c r="I33" i="1"/>
  <c r="B34" i="1"/>
  <c r="I25" i="1"/>
  <c r="C34" i="1"/>
  <c r="D34" i="1"/>
  <c r="E34" i="1"/>
  <c r="F34" i="1"/>
  <c r="G34" i="1"/>
  <c r="H34" i="1"/>
  <c r="I8" i="1"/>
  <c r="I9" i="1"/>
  <c r="I10" i="1"/>
  <c r="I11" i="1"/>
  <c r="I12" i="1"/>
  <c r="I7" i="1"/>
  <c r="C13" i="1"/>
  <c r="D13" i="1"/>
  <c r="E13" i="1"/>
  <c r="F13" i="1"/>
  <c r="G13" i="1"/>
  <c r="H13" i="1"/>
  <c r="B13" i="1"/>
  <c r="I7" i="9" l="1"/>
  <c r="I10" i="8"/>
  <c r="I9" i="4"/>
  <c r="I24" i="3"/>
  <c r="I34" i="1"/>
  <c r="I13" i="1"/>
  <c r="F15" i="1" s="1"/>
  <c r="G16" i="1" s="1"/>
</calcChain>
</file>

<file path=xl/sharedStrings.xml><?xml version="1.0" encoding="utf-8"?>
<sst xmlns="http://schemas.openxmlformats.org/spreadsheetml/2006/main" count="371" uniqueCount="79">
  <si>
    <t>PRODUCTO</t>
  </si>
  <si>
    <t>CORTELYOY</t>
  </si>
  <si>
    <t>5TH AVE</t>
  </si>
  <si>
    <t>34TH MOKA</t>
  </si>
  <si>
    <t>STATEN ISLAND</t>
  </si>
  <si>
    <t>403 BEACH</t>
  </si>
  <si>
    <t>ELM</t>
  </si>
  <si>
    <t>SPRINKLES</t>
  </si>
  <si>
    <t>TOTAL</t>
  </si>
  <si>
    <t xml:space="preserve">  CROISSANTS GRUPO 1</t>
  </si>
  <si>
    <t>Artisanal Croissant</t>
  </si>
  <si>
    <t/>
  </si>
  <si>
    <t>Cookie Croissant</t>
  </si>
  <si>
    <t>Dubai Chocolate Croissant</t>
  </si>
  <si>
    <t>Dulce de Leche Croissant</t>
  </si>
  <si>
    <t>Lemon Pie Croissant</t>
  </si>
  <si>
    <t>Strawberry Croissant</t>
  </si>
  <si>
    <t xml:space="preserve">  CROISSANTS GRUPO 2</t>
  </si>
  <si>
    <t>Almond Croissant</t>
  </si>
  <si>
    <t>Chocolate Mousse Croissant</t>
  </si>
  <si>
    <t>Fruit Danish</t>
  </si>
  <si>
    <t>Nutella New York Roll</t>
  </si>
  <si>
    <t>Pain au Chocolat</t>
  </si>
  <si>
    <t>Pistachio Croissant</t>
  </si>
  <si>
    <t>TOTAL CROISSANTS</t>
  </si>
  <si>
    <t>Apple Essence</t>
  </si>
  <si>
    <t>Caramel Banana Bliss</t>
  </si>
  <si>
    <t>Emerald Temptation</t>
  </si>
  <si>
    <t>Golden Crunch</t>
  </si>
  <si>
    <t>Golden Love</t>
  </si>
  <si>
    <t>Mango Coco Dream</t>
  </si>
  <si>
    <t>Mango Tres Leches</t>
  </si>
  <si>
    <t>Orange Blossom Delight</t>
  </si>
  <si>
    <t>Pear Harmony</t>
  </si>
  <si>
    <t>Raspberry Secret</t>
  </si>
  <si>
    <t>Rosa Elegance</t>
  </si>
  <si>
    <t>Strawberry Bliss</t>
  </si>
  <si>
    <t>Tiramisú Cup</t>
  </si>
  <si>
    <t>Triple Chocolate Mousse</t>
  </si>
  <si>
    <t>Tropical Bliss</t>
  </si>
  <si>
    <t>Virgin Pina Colada</t>
  </si>
  <si>
    <t>Zesty Lemon</t>
  </si>
  <si>
    <t>TOTAL FRUIT DESSERTS</t>
  </si>
  <si>
    <t>Fruit Tart</t>
  </si>
  <si>
    <t>Lemon Tart</t>
  </si>
  <si>
    <t>Strawberry Tart</t>
  </si>
  <si>
    <t>TOTAL TARTAS</t>
  </si>
  <si>
    <t>Classic Tres Leches</t>
  </si>
  <si>
    <t>Crème Brûlée</t>
  </si>
  <si>
    <t>Napoleon</t>
  </si>
  <si>
    <t>Opera Cake</t>
  </si>
  <si>
    <t>Red Velvet Cheesecake</t>
  </si>
  <si>
    <t>Strawberry Swiss Roll</t>
  </si>
  <si>
    <t>TOTAL DESSERTS</t>
  </si>
  <si>
    <t>Black Forest Slice x10</t>
  </si>
  <si>
    <t>Dulce de Leche Cheesecake Slice x10</t>
  </si>
  <si>
    <t>New York Cheesecake Slices x10</t>
  </si>
  <si>
    <t>Nutella Cheesecake x10</t>
  </si>
  <si>
    <t>Tiramisu Slice x10</t>
  </si>
  <si>
    <t>TOTAL CAKES SLICES</t>
  </si>
  <si>
    <t>TOTAL TRES LECHES PARTY TRAYS</t>
  </si>
  <si>
    <t>TOTAL CROISSANTS GRUPO 1 - MIERCOLES 17 DE JUNIO</t>
  </si>
  <si>
    <t>TOTAL CROISSANT PLAINS</t>
  </si>
  <si>
    <t>TOTAL BANDEJAS PLAIN</t>
  </si>
  <si>
    <t>CROISSANTS ADICIONALES PARA SACAR</t>
  </si>
  <si>
    <t>CROISSANTS</t>
  </si>
  <si>
    <t>Fruit &amp; Cream Croissant</t>
  </si>
  <si>
    <t>Raspberry Croissant</t>
  </si>
  <si>
    <t>Chicken Pan Swiss</t>
  </si>
  <si>
    <t>CROISSANTS NO PLAINS -  DE COLORES MIERCOLES 17 DE JUNIO</t>
  </si>
  <si>
    <t>Blueberry Dream</t>
  </si>
  <si>
    <t>TOTAL FRUIT DESSERTS - MIERCOLES 17 DE JUNIO</t>
  </si>
  <si>
    <t>TOTAL TARTAS - MIERCOLES 17 DE JUNIO</t>
  </si>
  <si>
    <t>Pistacho Crème Brûlée</t>
  </si>
  <si>
    <t>TOTAL DESSERTS - MIERCOLES 17 DE JUNIO</t>
  </si>
  <si>
    <t>TOTAL CAKE SLICES - MIERCOLES 17 DE JUNIO</t>
  </si>
  <si>
    <t>Dubai Chocolate Pistacho Tres Leches (Party Tray)</t>
  </si>
  <si>
    <t>Dulce de Leche Tres Leches (Party Tray)</t>
  </si>
  <si>
    <t>TOTAL PARTY TRAYS - MIERCOLES 17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</si>
</sst>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Fill="1"/>
    <xf numFmtId="0" fontId="1" fillId="0" borderId="2" xfId="0" applyFont="1" applyBorder="1"/>
    <xf numFmtId="0" fontId="1" fillId="0" borderId="0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7"/>
  <sheetViews>
    <sheetView topLeftCell="A15" workbookViewId="0">
      <selection activeCell="J17" sqref="J17"/>
    </sheetView>
  </sheetViews>
  <sheetFormatPr defaultRowHeight="18" x14ac:dyDescent="0.35"/>
  <cols>
    <col min="1" max="1" width="27.5" style="1" bestFit="1" customWidth="1"/>
    <col min="2" max="2" width="12.19921875" style="1" bestFit="1" customWidth="1"/>
    <col min="3" max="3" width="9.09765625" style="1" bestFit="1" customWidth="1"/>
    <col min="4" max="4" width="12.69921875" style="1" bestFit="1" customWidth="1"/>
    <col min="5" max="5" width="15.8984375" style="1" bestFit="1" customWidth="1"/>
    <col min="6" max="6" width="11.5" style="1" bestFit="1" customWidth="1"/>
    <col min="7" max="7" width="13" style="1" bestFit="1" customWidth="1"/>
    <col min="8" max="8" width="11.09765625" style="1" bestFit="1" customWidth="1"/>
    <col min="9" max="9" width="7.09765625" style="1" bestFit="1" customWidth="1"/>
    <col min="10" max="16384" width="8.796875" style="1"/>
  </cols>
  <sheetData>
    <row r="3" spans="1:9" ht="23.4" x14ac:dyDescent="0.35">
      <c r="A3" s="14" t="s">
        <v>61</v>
      </c>
      <c r="B3" s="14"/>
      <c r="C3" s="14"/>
      <c r="D3" s="14"/>
      <c r="E3" s="14"/>
      <c r="F3" s="14"/>
      <c r="G3" s="14"/>
      <c r="H3" s="14"/>
      <c r="I3" s="14"/>
    </row>
    <row r="5" spans="1:9" x14ac:dyDescent="0.35">
      <c r="A5" s="2" t="s">
        <v>9</v>
      </c>
    </row>
    <row r="6" spans="1:9" x14ac:dyDescent="0.3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</row>
    <row r="7" spans="1:9" x14ac:dyDescent="0.35">
      <c r="A7" s="4" t="s">
        <v>10</v>
      </c>
      <c r="B7" s="8">
        <v>6</v>
      </c>
      <c r="C7" s="8" t="s">
        <v>11</v>
      </c>
      <c r="D7" s="8">
        <v>80</v>
      </c>
      <c r="E7" s="8">
        <v>8</v>
      </c>
      <c r="F7" s="8">
        <v>5</v>
      </c>
      <c r="G7" s="8">
        <v>9</v>
      </c>
      <c r="H7" s="8" t="s">
        <v>11</v>
      </c>
      <c r="I7" s="8">
        <f>SUM(B7:H7)</f>
        <v>108</v>
      </c>
    </row>
    <row r="8" spans="1:9" x14ac:dyDescent="0.35">
      <c r="A8" s="4" t="s">
        <v>12</v>
      </c>
      <c r="B8" s="8" t="s">
        <v>11</v>
      </c>
      <c r="C8" s="8" t="s">
        <v>11</v>
      </c>
      <c r="D8" s="8">
        <v>12</v>
      </c>
      <c r="E8" s="8" t="s">
        <v>11</v>
      </c>
      <c r="F8" s="8" t="s">
        <v>11</v>
      </c>
      <c r="G8" s="8" t="s">
        <v>11</v>
      </c>
      <c r="H8" s="8" t="s">
        <v>11</v>
      </c>
      <c r="I8" s="8">
        <f t="shared" ref="I8:I12" si="0">SUM(B8:H8)</f>
        <v>12</v>
      </c>
    </row>
    <row r="9" spans="1:9" x14ac:dyDescent="0.35">
      <c r="A9" s="4" t="s">
        <v>13</v>
      </c>
      <c r="B9" s="8">
        <v>6</v>
      </c>
      <c r="C9" s="8" t="s">
        <v>11</v>
      </c>
      <c r="D9" s="8">
        <v>12</v>
      </c>
      <c r="E9" s="8">
        <v>6</v>
      </c>
      <c r="F9" s="8">
        <v>4</v>
      </c>
      <c r="G9" s="8" t="s">
        <v>11</v>
      </c>
      <c r="H9" s="8" t="s">
        <v>11</v>
      </c>
      <c r="I9" s="8">
        <f t="shared" si="0"/>
        <v>28</v>
      </c>
    </row>
    <row r="10" spans="1:9" x14ac:dyDescent="0.35">
      <c r="A10" s="4" t="s">
        <v>14</v>
      </c>
      <c r="B10" s="8" t="s">
        <v>11</v>
      </c>
      <c r="C10" s="8">
        <v>6</v>
      </c>
      <c r="D10" s="8">
        <v>12</v>
      </c>
      <c r="E10" s="8">
        <v>4</v>
      </c>
      <c r="F10" s="8" t="s">
        <v>11</v>
      </c>
      <c r="G10" s="8">
        <v>6</v>
      </c>
      <c r="H10" s="8" t="s">
        <v>11</v>
      </c>
      <c r="I10" s="8">
        <f t="shared" si="0"/>
        <v>28</v>
      </c>
    </row>
    <row r="11" spans="1:9" x14ac:dyDescent="0.35">
      <c r="A11" s="4" t="s">
        <v>15</v>
      </c>
      <c r="B11" s="8">
        <v>6</v>
      </c>
      <c r="C11" s="8" t="s">
        <v>11</v>
      </c>
      <c r="D11" s="8" t="s">
        <v>11</v>
      </c>
      <c r="E11" s="8" t="s">
        <v>11</v>
      </c>
      <c r="F11" s="8" t="s">
        <v>11</v>
      </c>
      <c r="G11" s="8" t="s">
        <v>11</v>
      </c>
      <c r="H11" s="8" t="s">
        <v>11</v>
      </c>
      <c r="I11" s="8">
        <f t="shared" si="0"/>
        <v>6</v>
      </c>
    </row>
    <row r="12" spans="1:9" x14ac:dyDescent="0.35">
      <c r="A12" s="6" t="s">
        <v>16</v>
      </c>
      <c r="B12" s="9" t="s">
        <v>11</v>
      </c>
      <c r="C12" s="9" t="s">
        <v>11</v>
      </c>
      <c r="D12" s="9">
        <v>10</v>
      </c>
      <c r="E12" s="9">
        <v>4</v>
      </c>
      <c r="F12" s="9">
        <v>4</v>
      </c>
      <c r="G12" s="9" t="s">
        <v>11</v>
      </c>
      <c r="H12" s="9" t="s">
        <v>11</v>
      </c>
      <c r="I12" s="8">
        <f t="shared" si="0"/>
        <v>18</v>
      </c>
    </row>
    <row r="13" spans="1:9" s="7" customFormat="1" x14ac:dyDescent="0.35">
      <c r="A13" s="10" t="s">
        <v>24</v>
      </c>
      <c r="B13" s="11">
        <f>SUM(B7:B12)</f>
        <v>18</v>
      </c>
      <c r="C13" s="11">
        <f t="shared" ref="C13:I13" si="1">SUM(C7:C12)</f>
        <v>6</v>
      </c>
      <c r="D13" s="11">
        <f t="shared" si="1"/>
        <v>126</v>
      </c>
      <c r="E13" s="11">
        <f t="shared" si="1"/>
        <v>22</v>
      </c>
      <c r="F13" s="11">
        <f t="shared" si="1"/>
        <v>13</v>
      </c>
      <c r="G13" s="11">
        <f t="shared" si="1"/>
        <v>15</v>
      </c>
      <c r="H13" s="11">
        <f t="shared" si="1"/>
        <v>0</v>
      </c>
      <c r="I13" s="11">
        <f t="shared" si="1"/>
        <v>200</v>
      </c>
    </row>
    <row r="14" spans="1:9" s="7" customFormat="1" x14ac:dyDescent="0.35"/>
    <row r="15" spans="1:9" s="7" customFormat="1" x14ac:dyDescent="0.35">
      <c r="D15" s="15" t="s">
        <v>62</v>
      </c>
      <c r="E15" s="15"/>
      <c r="F15" s="16">
        <f>I13</f>
        <v>200</v>
      </c>
      <c r="G15"/>
    </row>
    <row r="16" spans="1:9" s="7" customFormat="1" ht="21" x14ac:dyDescent="0.35">
      <c r="D16" s="17" t="s">
        <v>63</v>
      </c>
      <c r="E16" s="17"/>
      <c r="F16" s="18">
        <v>16</v>
      </c>
      <c r="G16" s="19">
        <f>F15/12</f>
        <v>16.666666666666668</v>
      </c>
    </row>
    <row r="17" spans="1:11" s="7" customFormat="1" ht="33" customHeight="1" x14ac:dyDescent="0.35">
      <c r="D17" s="20" t="s">
        <v>64</v>
      </c>
      <c r="E17" s="20"/>
      <c r="F17" s="21">
        <v>8</v>
      </c>
      <c r="G17" s="21" t="s">
        <v>65</v>
      </c>
    </row>
    <row r="18" spans="1:11" s="7" customFormat="1" x14ac:dyDescent="0.35"/>
    <row r="19" spans="1:11" s="7" customFormat="1" x14ac:dyDescent="0.35"/>
    <row r="20" spans="1:11" s="7" customFormat="1" x14ac:dyDescent="0.35"/>
    <row r="21" spans="1:11" s="7" customFormat="1" ht="25.8" x14ac:dyDescent="0.35">
      <c r="A21" s="26" t="s">
        <v>69</v>
      </c>
      <c r="B21" s="27"/>
      <c r="C21" s="27"/>
      <c r="D21" s="27"/>
      <c r="E21" s="27"/>
      <c r="F21" s="27"/>
      <c r="G21" s="27"/>
      <c r="H21" s="27"/>
      <c r="I21" s="27"/>
    </row>
    <row r="22" spans="1:11" s="7" customFormat="1" x14ac:dyDescent="0.35"/>
    <row r="23" spans="1:11" x14ac:dyDescent="0.35">
      <c r="A23" s="2" t="s">
        <v>17</v>
      </c>
      <c r="B23" s="23"/>
      <c r="C23" s="23"/>
      <c r="D23" s="23"/>
      <c r="E23" s="23"/>
      <c r="F23" s="23"/>
      <c r="G23" s="23"/>
      <c r="H23" s="23"/>
      <c r="I23" s="23"/>
      <c r="J23" s="7"/>
      <c r="K23" s="5"/>
    </row>
    <row r="24" spans="1:11" x14ac:dyDescent="0.35">
      <c r="A24" s="3" t="s">
        <v>0</v>
      </c>
      <c r="B24" s="22" t="s">
        <v>1</v>
      </c>
      <c r="C24" s="22" t="s">
        <v>2</v>
      </c>
      <c r="D24" s="22" t="s">
        <v>3</v>
      </c>
      <c r="E24" s="22" t="s">
        <v>4</v>
      </c>
      <c r="F24" s="22" t="s">
        <v>5</v>
      </c>
      <c r="G24" s="22" t="s">
        <v>6</v>
      </c>
      <c r="H24" s="22" t="s">
        <v>7</v>
      </c>
      <c r="I24" s="22" t="s">
        <v>8</v>
      </c>
    </row>
    <row r="25" spans="1:11" x14ac:dyDescent="0.35">
      <c r="A25" s="25" t="s">
        <v>18</v>
      </c>
      <c r="B25" s="8">
        <v>6</v>
      </c>
      <c r="C25" s="8">
        <v>10</v>
      </c>
      <c r="D25" s="8">
        <v>20</v>
      </c>
      <c r="E25" s="8">
        <v>6</v>
      </c>
      <c r="F25" s="8">
        <v>6</v>
      </c>
      <c r="G25" s="8">
        <v>8</v>
      </c>
      <c r="H25" s="8" t="s">
        <v>11</v>
      </c>
      <c r="I25" s="24">
        <f>SUM(B25:H25)</f>
        <v>56</v>
      </c>
    </row>
    <row r="26" spans="1:11" x14ac:dyDescent="0.35">
      <c r="A26" s="25" t="s">
        <v>19</v>
      </c>
      <c r="B26" s="8" t="s">
        <v>11</v>
      </c>
      <c r="C26" s="8">
        <v>6</v>
      </c>
      <c r="D26" s="8">
        <v>15</v>
      </c>
      <c r="E26" s="8">
        <v>4</v>
      </c>
      <c r="F26" s="8" t="s">
        <v>11</v>
      </c>
      <c r="G26" s="8" t="s">
        <v>11</v>
      </c>
      <c r="H26" s="8" t="s">
        <v>11</v>
      </c>
      <c r="I26" s="24">
        <f t="shared" ref="I26:I33" si="2">SUM(B26:H26)</f>
        <v>25</v>
      </c>
    </row>
    <row r="27" spans="1:11" x14ac:dyDescent="0.35">
      <c r="A27" s="25" t="s">
        <v>20</v>
      </c>
      <c r="B27" s="8">
        <v>6</v>
      </c>
      <c r="C27" s="8">
        <v>4</v>
      </c>
      <c r="D27" s="8" t="s">
        <v>11</v>
      </c>
      <c r="E27" s="8" t="s">
        <v>11</v>
      </c>
      <c r="F27" s="8">
        <v>4</v>
      </c>
      <c r="G27" s="8" t="s">
        <v>11</v>
      </c>
      <c r="H27" s="8" t="s">
        <v>11</v>
      </c>
      <c r="I27" s="24">
        <f t="shared" si="2"/>
        <v>14</v>
      </c>
    </row>
    <row r="28" spans="1:11" x14ac:dyDescent="0.35">
      <c r="A28" s="25" t="s">
        <v>21</v>
      </c>
      <c r="B28" s="8" t="s">
        <v>11</v>
      </c>
      <c r="C28" s="8" t="s">
        <v>11</v>
      </c>
      <c r="D28" s="8">
        <v>12</v>
      </c>
      <c r="E28" s="8" t="s">
        <v>11</v>
      </c>
      <c r="F28" s="8" t="s">
        <v>11</v>
      </c>
      <c r="G28" s="8" t="s">
        <v>11</v>
      </c>
      <c r="H28" s="8" t="s">
        <v>11</v>
      </c>
      <c r="I28" s="24">
        <f t="shared" si="2"/>
        <v>12</v>
      </c>
    </row>
    <row r="29" spans="1:11" x14ac:dyDescent="0.35">
      <c r="A29" s="4" t="s">
        <v>68</v>
      </c>
      <c r="B29" s="8" t="s">
        <v>11</v>
      </c>
      <c r="C29" s="8" t="s">
        <v>11</v>
      </c>
      <c r="D29" s="8" t="s">
        <v>11</v>
      </c>
      <c r="E29" s="8" t="s">
        <v>11</v>
      </c>
      <c r="F29" s="8" t="s">
        <v>11</v>
      </c>
      <c r="G29" s="8">
        <v>6</v>
      </c>
      <c r="H29" s="8" t="s">
        <v>11</v>
      </c>
      <c r="I29" s="24">
        <f t="shared" si="2"/>
        <v>6</v>
      </c>
    </row>
    <row r="30" spans="1:11" x14ac:dyDescent="0.35">
      <c r="A30" s="25" t="s">
        <v>22</v>
      </c>
      <c r="B30" s="8">
        <v>6</v>
      </c>
      <c r="C30" s="8" t="s">
        <v>11</v>
      </c>
      <c r="D30" s="8">
        <v>12</v>
      </c>
      <c r="E30" s="8" t="s">
        <v>11</v>
      </c>
      <c r="F30" s="8" t="s">
        <v>11</v>
      </c>
      <c r="G30" s="8" t="s">
        <v>11</v>
      </c>
      <c r="H30" s="8" t="s">
        <v>11</v>
      </c>
      <c r="I30" s="24">
        <f t="shared" si="2"/>
        <v>18</v>
      </c>
    </row>
    <row r="31" spans="1:11" x14ac:dyDescent="0.35">
      <c r="A31" s="25" t="s">
        <v>23</v>
      </c>
      <c r="B31" s="8">
        <v>6</v>
      </c>
      <c r="C31" s="8">
        <v>6</v>
      </c>
      <c r="D31" s="8" t="s">
        <v>11</v>
      </c>
      <c r="E31" s="8">
        <v>4</v>
      </c>
      <c r="F31" s="8" t="s">
        <v>11</v>
      </c>
      <c r="G31" s="8">
        <v>8</v>
      </c>
      <c r="H31" s="8" t="s">
        <v>11</v>
      </c>
      <c r="I31" s="24">
        <f t="shared" si="2"/>
        <v>24</v>
      </c>
    </row>
    <row r="32" spans="1:11" x14ac:dyDescent="0.35">
      <c r="A32" s="25" t="s">
        <v>66</v>
      </c>
      <c r="B32" s="8" t="s">
        <v>11</v>
      </c>
      <c r="C32" s="8">
        <v>8</v>
      </c>
      <c r="D32" s="8" t="s">
        <v>11</v>
      </c>
      <c r="E32" s="8" t="s">
        <v>11</v>
      </c>
      <c r="F32" s="8">
        <v>4</v>
      </c>
      <c r="G32" s="8" t="s">
        <v>11</v>
      </c>
      <c r="H32" s="8" t="s">
        <v>11</v>
      </c>
      <c r="I32" s="24">
        <f t="shared" si="2"/>
        <v>12</v>
      </c>
    </row>
    <row r="33" spans="1:9" x14ac:dyDescent="0.35">
      <c r="A33" s="25" t="s">
        <v>67</v>
      </c>
      <c r="B33" s="8">
        <v>6</v>
      </c>
      <c r="C33" s="8">
        <v>6</v>
      </c>
      <c r="D33" s="8" t="s">
        <v>11</v>
      </c>
      <c r="E33" s="8">
        <v>4</v>
      </c>
      <c r="F33" s="8">
        <v>4</v>
      </c>
      <c r="G33" s="8" t="s">
        <v>11</v>
      </c>
      <c r="H33" s="8" t="s">
        <v>11</v>
      </c>
      <c r="I33" s="24">
        <f t="shared" si="2"/>
        <v>20</v>
      </c>
    </row>
    <row r="34" spans="1:9" x14ac:dyDescent="0.35">
      <c r="A34" s="11" t="s">
        <v>24</v>
      </c>
      <c r="B34" s="11">
        <f>SUM(B25:B33)</f>
        <v>30</v>
      </c>
      <c r="C34" s="11">
        <f>SUM(C25:C33)</f>
        <v>40</v>
      </c>
      <c r="D34" s="11">
        <f>SUM(D25:D33)</f>
        <v>59</v>
      </c>
      <c r="E34" s="11">
        <f>SUM(E25:E33)</f>
        <v>18</v>
      </c>
      <c r="F34" s="11">
        <f>SUM(F25:F33)</f>
        <v>18</v>
      </c>
      <c r="G34" s="11">
        <f>SUM(G25:G33)</f>
        <v>22</v>
      </c>
      <c r="H34" s="11">
        <f>SUM(H25:H33)</f>
        <v>0</v>
      </c>
      <c r="I34" s="11">
        <f>SUM(I25:I33)</f>
        <v>187</v>
      </c>
    </row>
    <row r="36" spans="1:9" x14ac:dyDescent="0.35">
      <c r="B36" s="22" t="s">
        <v>1</v>
      </c>
      <c r="C36" s="22" t="s">
        <v>2</v>
      </c>
      <c r="D36" s="22" t="s">
        <v>3</v>
      </c>
      <c r="E36" s="22" t="s">
        <v>4</v>
      </c>
      <c r="F36" s="22" t="s">
        <v>5</v>
      </c>
      <c r="G36" s="22" t="s">
        <v>6</v>
      </c>
      <c r="H36" s="22" t="s">
        <v>7</v>
      </c>
      <c r="I36" s="22" t="s">
        <v>8</v>
      </c>
    </row>
    <row r="37" spans="1:9" x14ac:dyDescent="0.35">
      <c r="B37" s="24">
        <f>B13+B34</f>
        <v>48</v>
      </c>
      <c r="C37" s="24">
        <f t="shared" ref="C37:I37" si="3">C13+C34</f>
        <v>46</v>
      </c>
      <c r="D37" s="24">
        <f t="shared" si="3"/>
        <v>185</v>
      </c>
      <c r="E37" s="24">
        <f t="shared" si="3"/>
        <v>40</v>
      </c>
      <c r="F37" s="24">
        <f t="shared" si="3"/>
        <v>31</v>
      </c>
      <c r="G37" s="24">
        <f t="shared" si="3"/>
        <v>37</v>
      </c>
      <c r="H37" s="24">
        <f t="shared" si="3"/>
        <v>0</v>
      </c>
      <c r="I37" s="24">
        <f t="shared" si="3"/>
        <v>387</v>
      </c>
    </row>
  </sheetData>
  <mergeCells count="5">
    <mergeCell ref="A3:I3"/>
    <mergeCell ref="D15:E15"/>
    <mergeCell ref="D16:E16"/>
    <mergeCell ref="D17:E17"/>
    <mergeCell ref="A21:I21"/>
  </mergeCells>
  <pageMargins left="0.7" right="0.7" top="0.75" bottom="0.75" header="0.3" footer="0.3"/>
  <ignoredErrors>
    <ignoredError sqref="A30:H31 A6:J6 A7:H12 J7:J12 A23:J23 A35:J35 B32:H33 A34 J30:J34 J25:J28 A25:H28 A36 J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24"/>
  <sheetViews>
    <sheetView tabSelected="1" workbookViewId="0">
      <selection activeCell="R19" sqref="R19"/>
    </sheetView>
  </sheetViews>
  <sheetFormatPr defaultRowHeight="18" x14ac:dyDescent="0.35"/>
  <cols>
    <col min="1" max="1" width="24" style="1" bestFit="1" customWidth="1"/>
    <col min="2" max="2" width="12.19921875" style="1" hidden="1" customWidth="1"/>
    <col min="3" max="3" width="9.09765625" style="1" hidden="1" customWidth="1"/>
    <col min="4" max="4" width="12.69921875" style="1" hidden="1" customWidth="1"/>
    <col min="5" max="5" width="15.8984375" style="1" hidden="1" customWidth="1"/>
    <col min="6" max="6" width="11.5" style="1" hidden="1" customWidth="1"/>
    <col min="7" max="7" width="5" style="1" hidden="1" customWidth="1"/>
    <col min="8" max="8" width="11.09765625" style="1" hidden="1" customWidth="1"/>
    <col min="9" max="9" width="7.09765625" style="1" bestFit="1" customWidth="1"/>
    <col min="10" max="16384" width="8.796875" style="1"/>
  </cols>
  <sheetData>
    <row r="3" spans="1:9" ht="23.4" x14ac:dyDescent="0.35">
      <c r="A3" s="14" t="s">
        <v>71</v>
      </c>
      <c r="B3" s="14"/>
      <c r="C3" s="14"/>
      <c r="D3" s="14"/>
      <c r="E3" s="14"/>
      <c r="F3" s="14"/>
      <c r="G3" s="14"/>
      <c r="H3" s="14"/>
      <c r="I3" s="14"/>
    </row>
    <row r="5" spans="1:9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</row>
    <row r="6" spans="1:9" x14ac:dyDescent="0.35">
      <c r="A6" s="4" t="s">
        <v>25</v>
      </c>
      <c r="B6" s="8" t="s">
        <v>11</v>
      </c>
      <c r="C6" s="8">
        <v>4</v>
      </c>
      <c r="D6" s="8">
        <v>12</v>
      </c>
      <c r="E6" s="8" t="s">
        <v>11</v>
      </c>
      <c r="F6" s="8" t="s">
        <v>11</v>
      </c>
      <c r="G6" s="8">
        <v>6</v>
      </c>
      <c r="H6" s="8">
        <v>5</v>
      </c>
      <c r="I6" s="24">
        <f>SUM(B6:H6)</f>
        <v>27</v>
      </c>
    </row>
    <row r="7" spans="1:9" x14ac:dyDescent="0.35">
      <c r="A7" s="4" t="s">
        <v>70</v>
      </c>
      <c r="B7" s="8" t="s">
        <v>11</v>
      </c>
      <c r="C7" s="8" t="s">
        <v>11</v>
      </c>
      <c r="D7" s="8" t="s">
        <v>11</v>
      </c>
      <c r="E7" s="8">
        <v>4</v>
      </c>
      <c r="F7" s="8" t="s">
        <v>11</v>
      </c>
      <c r="G7" s="8" t="s">
        <v>11</v>
      </c>
      <c r="H7" s="8" t="s">
        <v>11</v>
      </c>
      <c r="I7" s="24">
        <f t="shared" ref="I7:I23" si="0">SUM(B7:H7)</f>
        <v>4</v>
      </c>
    </row>
    <row r="8" spans="1:9" x14ac:dyDescent="0.35">
      <c r="A8" s="4" t="s">
        <v>26</v>
      </c>
      <c r="B8" s="8" t="s">
        <v>11</v>
      </c>
      <c r="C8" s="8">
        <v>6</v>
      </c>
      <c r="D8" s="8" t="s">
        <v>11</v>
      </c>
      <c r="E8" s="8">
        <v>4</v>
      </c>
      <c r="F8" s="8" t="s">
        <v>11</v>
      </c>
      <c r="G8" s="8" t="s">
        <v>11</v>
      </c>
      <c r="H8" s="8">
        <v>5</v>
      </c>
      <c r="I8" s="24">
        <f t="shared" si="0"/>
        <v>15</v>
      </c>
    </row>
    <row r="9" spans="1:9" x14ac:dyDescent="0.35">
      <c r="A9" s="4" t="s">
        <v>27</v>
      </c>
      <c r="B9" s="8" t="s">
        <v>11</v>
      </c>
      <c r="C9" s="8">
        <v>4</v>
      </c>
      <c r="D9" s="8" t="s">
        <v>11</v>
      </c>
      <c r="E9" s="8" t="s">
        <v>11</v>
      </c>
      <c r="F9" s="8" t="s">
        <v>11</v>
      </c>
      <c r="G9" s="8" t="s">
        <v>11</v>
      </c>
      <c r="H9" s="8" t="s">
        <v>11</v>
      </c>
      <c r="I9" s="24">
        <f t="shared" si="0"/>
        <v>4</v>
      </c>
    </row>
    <row r="10" spans="1:9" x14ac:dyDescent="0.35">
      <c r="A10" s="4" t="s">
        <v>28</v>
      </c>
      <c r="B10" s="8" t="s">
        <v>11</v>
      </c>
      <c r="C10" s="8">
        <v>6</v>
      </c>
      <c r="D10" s="8" t="s">
        <v>11</v>
      </c>
      <c r="E10" s="8" t="s">
        <v>11</v>
      </c>
      <c r="F10" s="8" t="s">
        <v>11</v>
      </c>
      <c r="G10" s="8" t="s">
        <v>11</v>
      </c>
      <c r="H10" s="8">
        <v>7</v>
      </c>
      <c r="I10" s="24">
        <f t="shared" si="0"/>
        <v>13</v>
      </c>
    </row>
    <row r="11" spans="1:9" x14ac:dyDescent="0.35">
      <c r="A11" s="4" t="s">
        <v>29</v>
      </c>
      <c r="B11" s="8" t="s">
        <v>11</v>
      </c>
      <c r="C11" s="8">
        <v>6</v>
      </c>
      <c r="D11" s="8" t="s">
        <v>11</v>
      </c>
      <c r="E11" s="8" t="s">
        <v>11</v>
      </c>
      <c r="F11" s="8" t="s">
        <v>11</v>
      </c>
      <c r="G11" s="8" t="s">
        <v>11</v>
      </c>
      <c r="H11" s="8">
        <v>7</v>
      </c>
      <c r="I11" s="24">
        <f t="shared" si="0"/>
        <v>13</v>
      </c>
    </row>
    <row r="12" spans="1:9" x14ac:dyDescent="0.35">
      <c r="A12" s="4" t="s">
        <v>30</v>
      </c>
      <c r="B12" s="8" t="s">
        <v>11</v>
      </c>
      <c r="C12" s="8" t="s">
        <v>11</v>
      </c>
      <c r="D12" s="8">
        <v>12</v>
      </c>
      <c r="E12" s="8">
        <v>4</v>
      </c>
      <c r="F12" s="8" t="s">
        <v>11</v>
      </c>
      <c r="G12" s="8" t="s">
        <v>11</v>
      </c>
      <c r="H12" s="8" t="s">
        <v>11</v>
      </c>
      <c r="I12" s="24">
        <f t="shared" si="0"/>
        <v>16</v>
      </c>
    </row>
    <row r="13" spans="1:9" x14ac:dyDescent="0.35">
      <c r="A13" s="4" t="s">
        <v>31</v>
      </c>
      <c r="B13" s="8">
        <v>6</v>
      </c>
      <c r="C13" s="8" t="s">
        <v>11</v>
      </c>
      <c r="D13" s="8">
        <v>30</v>
      </c>
      <c r="E13" s="8">
        <v>18</v>
      </c>
      <c r="F13" s="8">
        <v>4</v>
      </c>
      <c r="G13" s="8">
        <v>10</v>
      </c>
      <c r="H13" s="8">
        <v>10</v>
      </c>
      <c r="I13" s="24">
        <f t="shared" si="0"/>
        <v>78</v>
      </c>
    </row>
    <row r="14" spans="1:9" x14ac:dyDescent="0.35">
      <c r="A14" s="4" t="s">
        <v>32</v>
      </c>
      <c r="B14" s="8" t="s">
        <v>11</v>
      </c>
      <c r="C14" s="8" t="s">
        <v>11</v>
      </c>
      <c r="D14" s="8" t="s">
        <v>11</v>
      </c>
      <c r="E14" s="8" t="s">
        <v>11</v>
      </c>
      <c r="F14" s="8">
        <v>4</v>
      </c>
      <c r="G14" s="8" t="s">
        <v>11</v>
      </c>
      <c r="H14" s="8">
        <v>10</v>
      </c>
      <c r="I14" s="24">
        <f t="shared" si="0"/>
        <v>14</v>
      </c>
    </row>
    <row r="15" spans="1:9" x14ac:dyDescent="0.35">
      <c r="A15" s="4" t="s">
        <v>33</v>
      </c>
      <c r="B15" s="8">
        <v>6</v>
      </c>
      <c r="C15" s="8" t="s">
        <v>11</v>
      </c>
      <c r="D15" s="8" t="s">
        <v>11</v>
      </c>
      <c r="E15" s="8" t="s">
        <v>11</v>
      </c>
      <c r="F15" s="8" t="s">
        <v>11</v>
      </c>
      <c r="G15" s="8">
        <v>6</v>
      </c>
      <c r="H15" s="8" t="s">
        <v>11</v>
      </c>
      <c r="I15" s="24">
        <f t="shared" si="0"/>
        <v>12</v>
      </c>
    </row>
    <row r="16" spans="1:9" x14ac:dyDescent="0.35">
      <c r="A16" s="4" t="s">
        <v>34</v>
      </c>
      <c r="B16" s="8">
        <v>6</v>
      </c>
      <c r="C16" s="8" t="s">
        <v>11</v>
      </c>
      <c r="D16" s="8" t="s">
        <v>11</v>
      </c>
      <c r="E16" s="8">
        <v>8</v>
      </c>
      <c r="F16" s="8">
        <v>6</v>
      </c>
      <c r="G16" s="8" t="s">
        <v>11</v>
      </c>
      <c r="H16" s="8">
        <v>10</v>
      </c>
      <c r="I16" s="24">
        <f t="shared" si="0"/>
        <v>30</v>
      </c>
    </row>
    <row r="17" spans="1:9" x14ac:dyDescent="0.35">
      <c r="A17" s="4" t="s">
        <v>35</v>
      </c>
      <c r="B17" s="8" t="s">
        <v>11</v>
      </c>
      <c r="C17" s="8" t="s">
        <v>11</v>
      </c>
      <c r="D17" s="8" t="s">
        <v>11</v>
      </c>
      <c r="E17" s="8" t="s">
        <v>11</v>
      </c>
      <c r="F17" s="8" t="s">
        <v>11</v>
      </c>
      <c r="G17" s="8" t="s">
        <v>11</v>
      </c>
      <c r="H17" s="8">
        <v>7</v>
      </c>
      <c r="I17" s="24">
        <f t="shared" si="0"/>
        <v>7</v>
      </c>
    </row>
    <row r="18" spans="1:9" x14ac:dyDescent="0.35">
      <c r="A18" s="4" t="s">
        <v>36</v>
      </c>
      <c r="B18" s="8">
        <v>6</v>
      </c>
      <c r="C18" s="8" t="s">
        <v>11</v>
      </c>
      <c r="D18" s="8" t="s">
        <v>11</v>
      </c>
      <c r="E18" s="8">
        <v>15</v>
      </c>
      <c r="F18" s="8">
        <v>4</v>
      </c>
      <c r="G18" s="8">
        <v>6</v>
      </c>
      <c r="H18" s="8">
        <v>10</v>
      </c>
      <c r="I18" s="24">
        <f t="shared" si="0"/>
        <v>41</v>
      </c>
    </row>
    <row r="19" spans="1:9" x14ac:dyDescent="0.35">
      <c r="A19" s="4" t="s">
        <v>37</v>
      </c>
      <c r="B19" s="8">
        <v>6</v>
      </c>
      <c r="C19" s="8" t="s">
        <v>11</v>
      </c>
      <c r="D19" s="8" t="s">
        <v>11</v>
      </c>
      <c r="E19" s="8">
        <v>4</v>
      </c>
      <c r="F19" s="8" t="s">
        <v>11</v>
      </c>
      <c r="G19" s="8" t="s">
        <v>11</v>
      </c>
      <c r="H19" s="8">
        <v>7</v>
      </c>
      <c r="I19" s="24">
        <f t="shared" si="0"/>
        <v>17</v>
      </c>
    </row>
    <row r="20" spans="1:9" x14ac:dyDescent="0.35">
      <c r="A20" s="4" t="s">
        <v>38</v>
      </c>
      <c r="B20" s="8">
        <v>6</v>
      </c>
      <c r="C20" s="8">
        <v>4</v>
      </c>
      <c r="D20" s="8" t="s">
        <v>11</v>
      </c>
      <c r="E20" s="8" t="s">
        <v>11</v>
      </c>
      <c r="F20" s="8">
        <v>4</v>
      </c>
      <c r="G20" s="8">
        <v>6</v>
      </c>
      <c r="H20" s="8" t="s">
        <v>11</v>
      </c>
      <c r="I20" s="24">
        <f t="shared" si="0"/>
        <v>20</v>
      </c>
    </row>
    <row r="21" spans="1:9" x14ac:dyDescent="0.35">
      <c r="A21" s="4" t="s">
        <v>39</v>
      </c>
      <c r="B21" s="8" t="s">
        <v>11</v>
      </c>
      <c r="C21" s="8">
        <v>4</v>
      </c>
      <c r="D21" s="8" t="s">
        <v>11</v>
      </c>
      <c r="E21" s="8" t="s">
        <v>11</v>
      </c>
      <c r="F21" s="8" t="s">
        <v>11</v>
      </c>
      <c r="G21" s="8" t="s">
        <v>11</v>
      </c>
      <c r="H21" s="8" t="s">
        <v>11</v>
      </c>
      <c r="I21" s="24">
        <f t="shared" si="0"/>
        <v>4</v>
      </c>
    </row>
    <row r="22" spans="1:9" x14ac:dyDescent="0.35">
      <c r="A22" s="4" t="s">
        <v>40</v>
      </c>
      <c r="B22" s="8" t="s">
        <v>11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8">
        <v>10</v>
      </c>
      <c r="I22" s="24">
        <f t="shared" si="0"/>
        <v>10</v>
      </c>
    </row>
    <row r="23" spans="1:9" x14ac:dyDescent="0.35">
      <c r="A23" s="4" t="s">
        <v>41</v>
      </c>
      <c r="B23" s="8" t="s">
        <v>11</v>
      </c>
      <c r="C23" s="8" t="s">
        <v>11</v>
      </c>
      <c r="D23" s="8" t="s">
        <v>11</v>
      </c>
      <c r="E23" s="8">
        <v>6</v>
      </c>
      <c r="F23" s="8">
        <v>8</v>
      </c>
      <c r="G23" s="8" t="s">
        <v>11</v>
      </c>
      <c r="H23" s="8">
        <v>10</v>
      </c>
      <c r="I23" s="24">
        <f t="shared" si="0"/>
        <v>24</v>
      </c>
    </row>
    <row r="24" spans="1:9" x14ac:dyDescent="0.35">
      <c r="A24" s="10" t="s">
        <v>42</v>
      </c>
      <c r="B24" s="11">
        <f>SUM(B6:B23)</f>
        <v>36</v>
      </c>
      <c r="C24" s="11">
        <f t="shared" ref="C24:I24" si="1">SUM(C6:C23)</f>
        <v>34</v>
      </c>
      <c r="D24" s="11">
        <f t="shared" si="1"/>
        <v>54</v>
      </c>
      <c r="E24" s="11">
        <f t="shared" si="1"/>
        <v>63</v>
      </c>
      <c r="F24" s="11">
        <f t="shared" si="1"/>
        <v>30</v>
      </c>
      <c r="G24" s="11">
        <f t="shared" si="1"/>
        <v>34</v>
      </c>
      <c r="H24" s="11">
        <f t="shared" si="1"/>
        <v>98</v>
      </c>
      <c r="I24" s="11">
        <f t="shared" si="1"/>
        <v>349</v>
      </c>
    </row>
  </sheetData>
  <sortState xmlns:xlrd2="http://schemas.microsoft.com/office/spreadsheetml/2017/richdata2" ref="A7:I23">
    <sortCondition ref="A6:A23"/>
  </sortState>
  <mergeCells count="1">
    <mergeCell ref="A3:I3"/>
  </mergeCells>
  <pageMargins left="0.7" right="0.7" top="0.75" bottom="0.75" header="0.3" footer="0.3"/>
  <ignoredErrors>
    <ignoredError sqref="A5:J5 A25:J26 J23 J7:J22 A24 J24 A6:H6 J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9"/>
  <sheetViews>
    <sheetView workbookViewId="0">
      <selection activeCell="F13" sqref="F13"/>
    </sheetView>
  </sheetViews>
  <sheetFormatPr defaultRowHeight="18" x14ac:dyDescent="0.35"/>
  <cols>
    <col min="1" max="1" width="15.59765625" style="1" bestFit="1" customWidth="1"/>
    <col min="2" max="2" width="13.296875" style="1" customWidth="1"/>
    <col min="3" max="3" width="8.796875" style="1" bestFit="1" customWidth="1"/>
    <col min="4" max="4" width="12.296875" style="1" bestFit="1" customWidth="1"/>
    <col min="5" max="5" width="15.59765625" style="1" bestFit="1" customWidth="1"/>
    <col min="6" max="6" width="11.296875" style="1" bestFit="1" customWidth="1"/>
    <col min="7" max="7" width="7.796875" style="1" customWidth="1"/>
    <col min="8" max="8" width="12.296875" style="1" customWidth="1"/>
    <col min="9" max="9" width="6.8984375" style="1" bestFit="1" customWidth="1"/>
    <col min="10" max="16384" width="8.796875" style="1"/>
  </cols>
  <sheetData>
    <row r="3" spans="1:9" ht="23.4" x14ac:dyDescent="0.35">
      <c r="A3" s="14" t="s">
        <v>72</v>
      </c>
      <c r="B3" s="14"/>
      <c r="C3" s="14"/>
      <c r="D3" s="14"/>
      <c r="E3" s="14"/>
      <c r="F3" s="14"/>
      <c r="G3" s="14"/>
      <c r="H3" s="14"/>
      <c r="I3" s="14"/>
    </row>
    <row r="5" spans="1:9" ht="36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</row>
    <row r="6" spans="1:9" x14ac:dyDescent="0.35">
      <c r="A6" s="4" t="s">
        <v>43</v>
      </c>
      <c r="B6" s="8">
        <v>6</v>
      </c>
      <c r="C6" s="8" t="s">
        <v>11</v>
      </c>
      <c r="D6" s="8" t="s">
        <v>11</v>
      </c>
      <c r="E6" s="8">
        <v>4</v>
      </c>
      <c r="F6" s="8">
        <v>5</v>
      </c>
      <c r="G6" s="8">
        <v>6</v>
      </c>
      <c r="H6" s="8" t="s">
        <v>11</v>
      </c>
      <c r="I6" s="24">
        <f>SUM(B6:H6)</f>
        <v>21</v>
      </c>
    </row>
    <row r="7" spans="1:9" x14ac:dyDescent="0.35">
      <c r="A7" s="4" t="s">
        <v>44</v>
      </c>
      <c r="B7" s="8">
        <v>6</v>
      </c>
      <c r="C7" s="8" t="s">
        <v>11</v>
      </c>
      <c r="D7" s="8" t="s">
        <v>11</v>
      </c>
      <c r="E7" s="8">
        <v>4</v>
      </c>
      <c r="F7" s="8" t="s">
        <v>11</v>
      </c>
      <c r="G7" s="8" t="s">
        <v>11</v>
      </c>
      <c r="H7" s="8" t="s">
        <v>11</v>
      </c>
      <c r="I7" s="24">
        <f t="shared" ref="I7:I8" si="0">SUM(B7:H7)</f>
        <v>10</v>
      </c>
    </row>
    <row r="8" spans="1:9" x14ac:dyDescent="0.35">
      <c r="A8" s="4" t="s">
        <v>45</v>
      </c>
      <c r="B8" s="8">
        <v>6</v>
      </c>
      <c r="C8" s="8" t="s">
        <v>11</v>
      </c>
      <c r="D8" s="8" t="s">
        <v>11</v>
      </c>
      <c r="E8" s="8" t="s">
        <v>11</v>
      </c>
      <c r="F8" s="8" t="s">
        <v>11</v>
      </c>
      <c r="G8" s="8" t="s">
        <v>11</v>
      </c>
      <c r="H8" s="8" t="s">
        <v>11</v>
      </c>
      <c r="I8" s="24">
        <f t="shared" si="0"/>
        <v>6</v>
      </c>
    </row>
    <row r="9" spans="1:9" x14ac:dyDescent="0.35">
      <c r="A9" s="10" t="s">
        <v>46</v>
      </c>
      <c r="B9" s="11">
        <f>SUM(B6:B8)</f>
        <v>18</v>
      </c>
      <c r="C9" s="11">
        <f t="shared" ref="C9:I9" si="1">SUM(C6:C8)</f>
        <v>0</v>
      </c>
      <c r="D9" s="11">
        <f t="shared" si="1"/>
        <v>0</v>
      </c>
      <c r="E9" s="11">
        <f t="shared" si="1"/>
        <v>8</v>
      </c>
      <c r="F9" s="11">
        <f t="shared" si="1"/>
        <v>5</v>
      </c>
      <c r="G9" s="11">
        <f t="shared" si="1"/>
        <v>6</v>
      </c>
      <c r="H9" s="11">
        <f t="shared" si="1"/>
        <v>0</v>
      </c>
      <c r="I9" s="11">
        <f t="shared" si="1"/>
        <v>37</v>
      </c>
    </row>
  </sheetData>
  <mergeCells count="1">
    <mergeCell ref="A3:I3"/>
  </mergeCells>
  <pageMargins left="0.7" right="0.7" top="0.75" bottom="0.75" header="0.3" footer="0.3"/>
  <ignoredErrors>
    <ignoredError sqref="A5:J5 A10:J11 A9 J9 A7:H8 A6:H6 J6 J7:J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13"/>
  <sheetViews>
    <sheetView workbookViewId="0">
      <selection activeCell="D25" sqref="D25"/>
    </sheetView>
  </sheetViews>
  <sheetFormatPr defaultRowHeight="18" x14ac:dyDescent="0.35"/>
  <cols>
    <col min="1" max="1" width="22.296875" style="1" bestFit="1" customWidth="1"/>
    <col min="2" max="2" width="12.19921875" style="1" bestFit="1" customWidth="1"/>
    <col min="3" max="3" width="9.09765625" style="1" bestFit="1" customWidth="1"/>
    <col min="4" max="4" width="12.69921875" style="1" bestFit="1" customWidth="1"/>
    <col min="5" max="5" width="15.8984375" style="1" bestFit="1" customWidth="1"/>
    <col min="6" max="6" width="11.5" style="1" bestFit="1" customWidth="1"/>
    <col min="7" max="7" width="6" style="1" customWidth="1"/>
    <col min="8" max="8" width="11.09765625" style="1" bestFit="1" customWidth="1"/>
    <col min="9" max="9" width="7.09765625" style="1" bestFit="1" customWidth="1"/>
    <col min="10" max="16384" width="8.796875" style="1"/>
  </cols>
  <sheetData>
    <row r="3" spans="1:9" ht="23.4" x14ac:dyDescent="0.35">
      <c r="A3" s="14" t="s">
        <v>74</v>
      </c>
      <c r="B3" s="14"/>
      <c r="C3" s="14"/>
      <c r="D3" s="14"/>
      <c r="E3" s="14"/>
      <c r="F3" s="14"/>
      <c r="G3" s="14"/>
      <c r="H3" s="14"/>
      <c r="I3" s="14"/>
    </row>
    <row r="5" spans="1:9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</row>
    <row r="6" spans="1:9" x14ac:dyDescent="0.35">
      <c r="A6" s="4" t="s">
        <v>47</v>
      </c>
      <c r="B6" s="8" t="s">
        <v>11</v>
      </c>
      <c r="C6" s="8">
        <v>6</v>
      </c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  <c r="I6" s="24">
        <f>SUM(B6:H6)</f>
        <v>6</v>
      </c>
    </row>
    <row r="7" spans="1:9" x14ac:dyDescent="0.35">
      <c r="A7" s="4" t="s">
        <v>48</v>
      </c>
      <c r="B7" s="8" t="s">
        <v>11</v>
      </c>
      <c r="C7" s="8">
        <v>6</v>
      </c>
      <c r="D7" s="8" t="s">
        <v>11</v>
      </c>
      <c r="E7" s="8" t="s">
        <v>11</v>
      </c>
      <c r="F7" s="8" t="s">
        <v>11</v>
      </c>
      <c r="G7" s="8" t="s">
        <v>11</v>
      </c>
      <c r="H7" s="8" t="s">
        <v>11</v>
      </c>
      <c r="I7" s="24">
        <f t="shared" ref="I7:I12" si="0">SUM(B7:H7)</f>
        <v>6</v>
      </c>
    </row>
    <row r="8" spans="1:9" x14ac:dyDescent="0.35">
      <c r="A8" s="4" t="s">
        <v>49</v>
      </c>
      <c r="B8" s="8">
        <v>6</v>
      </c>
      <c r="C8" s="8" t="s">
        <v>11</v>
      </c>
      <c r="D8" s="8" t="s">
        <v>11</v>
      </c>
      <c r="E8" s="8">
        <v>4</v>
      </c>
      <c r="F8" s="8">
        <v>4</v>
      </c>
      <c r="G8" s="8">
        <v>6</v>
      </c>
      <c r="H8" s="8" t="s">
        <v>11</v>
      </c>
      <c r="I8" s="24">
        <f t="shared" si="0"/>
        <v>20</v>
      </c>
    </row>
    <row r="9" spans="1:9" x14ac:dyDescent="0.35">
      <c r="A9" s="4" t="s">
        <v>50</v>
      </c>
      <c r="B9" s="8" t="s">
        <v>11</v>
      </c>
      <c r="C9" s="8">
        <v>6</v>
      </c>
      <c r="D9" s="8" t="s">
        <v>11</v>
      </c>
      <c r="E9" s="8" t="s">
        <v>11</v>
      </c>
      <c r="F9" s="8" t="s">
        <v>11</v>
      </c>
      <c r="G9" s="8" t="s">
        <v>11</v>
      </c>
      <c r="H9" s="8" t="s">
        <v>11</v>
      </c>
      <c r="I9" s="24">
        <f t="shared" si="0"/>
        <v>6</v>
      </c>
    </row>
    <row r="10" spans="1:9" x14ac:dyDescent="0.35">
      <c r="A10" s="4" t="s">
        <v>51</v>
      </c>
      <c r="B10" s="8" t="s">
        <v>11</v>
      </c>
      <c r="C10" s="8">
        <v>6</v>
      </c>
      <c r="D10" s="8" t="s">
        <v>11</v>
      </c>
      <c r="E10" s="8" t="s">
        <v>11</v>
      </c>
      <c r="F10" s="8" t="s">
        <v>11</v>
      </c>
      <c r="G10" s="8" t="s">
        <v>11</v>
      </c>
      <c r="H10" s="8" t="s">
        <v>11</v>
      </c>
      <c r="I10" s="24">
        <f t="shared" si="0"/>
        <v>6</v>
      </c>
    </row>
    <row r="11" spans="1:9" x14ac:dyDescent="0.35">
      <c r="A11" s="4" t="s">
        <v>52</v>
      </c>
      <c r="B11" s="8" t="s">
        <v>11</v>
      </c>
      <c r="C11" s="8">
        <v>4</v>
      </c>
      <c r="D11" s="8" t="s">
        <v>11</v>
      </c>
      <c r="E11" s="8" t="s">
        <v>11</v>
      </c>
      <c r="F11" s="8" t="s">
        <v>11</v>
      </c>
      <c r="G11" s="8" t="s">
        <v>11</v>
      </c>
      <c r="H11" s="8" t="s">
        <v>11</v>
      </c>
      <c r="I11" s="24">
        <f t="shared" si="0"/>
        <v>4</v>
      </c>
    </row>
    <row r="12" spans="1:9" x14ac:dyDescent="0.35">
      <c r="A12" s="4" t="s">
        <v>73</v>
      </c>
      <c r="B12" s="8" t="s">
        <v>11</v>
      </c>
      <c r="C12" s="8">
        <v>4</v>
      </c>
      <c r="D12" s="8" t="s">
        <v>11</v>
      </c>
      <c r="E12" s="8" t="s">
        <v>11</v>
      </c>
      <c r="F12" s="8" t="s">
        <v>11</v>
      </c>
      <c r="G12" s="8" t="s">
        <v>11</v>
      </c>
      <c r="H12" s="8" t="s">
        <v>11</v>
      </c>
      <c r="I12" s="24">
        <f t="shared" si="0"/>
        <v>4</v>
      </c>
    </row>
    <row r="13" spans="1:9" x14ac:dyDescent="0.35">
      <c r="A13" s="10" t="s">
        <v>53</v>
      </c>
      <c r="B13" s="11">
        <f>SUM(B6:B12)</f>
        <v>6</v>
      </c>
      <c r="C13" s="11">
        <f t="shared" ref="C13:I13" si="1">SUM(C6:C12)</f>
        <v>32</v>
      </c>
      <c r="D13" s="11">
        <f t="shared" si="1"/>
        <v>0</v>
      </c>
      <c r="E13" s="11">
        <f t="shared" si="1"/>
        <v>4</v>
      </c>
      <c r="F13" s="11">
        <f t="shared" si="1"/>
        <v>4</v>
      </c>
      <c r="G13" s="11">
        <f t="shared" si="1"/>
        <v>6</v>
      </c>
      <c r="H13" s="11">
        <f t="shared" si="1"/>
        <v>0</v>
      </c>
      <c r="I13" s="11">
        <f t="shared" si="1"/>
        <v>52</v>
      </c>
    </row>
  </sheetData>
  <mergeCells count="1">
    <mergeCell ref="A3:I3"/>
  </mergeCells>
  <pageMargins left="0.7" right="0.7" top="0.75" bottom="0.75" header="0.3" footer="0.3"/>
  <ignoredErrors>
    <ignoredError sqref="A5:J5 A14:J15 B12:H12 A13 J13 A7:H11 A6:H6 J6 J12 J7:J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10"/>
  <sheetViews>
    <sheetView workbookViewId="0">
      <selection activeCell="D22" sqref="D22"/>
    </sheetView>
  </sheetViews>
  <sheetFormatPr defaultRowHeight="18" x14ac:dyDescent="0.35"/>
  <cols>
    <col min="1" max="1" width="35.296875" style="1" bestFit="1" customWidth="1"/>
    <col min="2" max="2" width="12.19921875" style="1" bestFit="1" customWidth="1"/>
    <col min="3" max="3" width="9.09765625" style="1" bestFit="1" customWidth="1"/>
    <col min="4" max="4" width="12.69921875" style="1" bestFit="1" customWidth="1"/>
    <col min="5" max="5" width="15.8984375" style="1" bestFit="1" customWidth="1"/>
    <col min="6" max="6" width="11.5" style="1" bestFit="1" customWidth="1"/>
    <col min="7" max="7" width="5" style="1" bestFit="1" customWidth="1"/>
    <col min="8" max="8" width="11.09765625" style="1" bestFit="1" customWidth="1"/>
    <col min="9" max="9" width="7.09765625" style="1" bestFit="1" customWidth="1"/>
    <col min="10" max="16384" width="8.796875" style="1"/>
  </cols>
  <sheetData>
    <row r="2" spans="1:9" ht="23.4" x14ac:dyDescent="0.35">
      <c r="A2" s="14" t="s">
        <v>75</v>
      </c>
      <c r="B2" s="14"/>
      <c r="C2" s="14"/>
      <c r="D2" s="14"/>
      <c r="E2" s="14"/>
      <c r="F2" s="14"/>
      <c r="G2" s="14"/>
      <c r="H2" s="14"/>
      <c r="I2" s="14"/>
    </row>
    <row r="4" spans="1:9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 x14ac:dyDescent="0.35">
      <c r="A5" s="4" t="s">
        <v>54</v>
      </c>
      <c r="B5" s="8" t="s">
        <v>11</v>
      </c>
      <c r="C5" s="8">
        <v>1</v>
      </c>
      <c r="D5" s="8" t="s">
        <v>11</v>
      </c>
      <c r="E5" s="8" t="s">
        <v>11</v>
      </c>
      <c r="F5" s="8" t="s">
        <v>11</v>
      </c>
      <c r="G5" s="8" t="s">
        <v>11</v>
      </c>
      <c r="H5" s="8" t="s">
        <v>11</v>
      </c>
      <c r="I5" s="24">
        <f>SUM(B5:H5)</f>
        <v>1</v>
      </c>
    </row>
    <row r="6" spans="1:9" x14ac:dyDescent="0.35">
      <c r="A6" s="4" t="s">
        <v>55</v>
      </c>
      <c r="B6" s="8">
        <v>1</v>
      </c>
      <c r="C6" s="8">
        <v>1</v>
      </c>
      <c r="D6" s="8" t="s">
        <v>11</v>
      </c>
      <c r="E6" s="8" t="s">
        <v>11</v>
      </c>
      <c r="F6" s="8" t="s">
        <v>11</v>
      </c>
      <c r="G6" s="8">
        <v>1</v>
      </c>
      <c r="H6" s="8" t="s">
        <v>11</v>
      </c>
      <c r="I6" s="24">
        <f t="shared" ref="I6:I9" si="0">SUM(B6:H6)</f>
        <v>3</v>
      </c>
    </row>
    <row r="7" spans="1:9" x14ac:dyDescent="0.35">
      <c r="A7" s="4" t="s">
        <v>56</v>
      </c>
      <c r="B7" s="8">
        <v>1</v>
      </c>
      <c r="C7" s="8">
        <v>1</v>
      </c>
      <c r="D7" s="8" t="s">
        <v>11</v>
      </c>
      <c r="E7" s="8" t="s">
        <v>11</v>
      </c>
      <c r="F7" s="8">
        <v>1</v>
      </c>
      <c r="G7" s="8" t="s">
        <v>11</v>
      </c>
      <c r="H7" s="8" t="s">
        <v>11</v>
      </c>
      <c r="I7" s="24">
        <f t="shared" si="0"/>
        <v>3</v>
      </c>
    </row>
    <row r="8" spans="1:9" x14ac:dyDescent="0.35">
      <c r="A8" s="4" t="s">
        <v>57</v>
      </c>
      <c r="B8" s="8" t="s">
        <v>11</v>
      </c>
      <c r="C8" s="8">
        <v>1</v>
      </c>
      <c r="D8" s="8" t="s">
        <v>11</v>
      </c>
      <c r="E8" s="8" t="s">
        <v>11</v>
      </c>
      <c r="F8" s="8" t="s">
        <v>11</v>
      </c>
      <c r="G8" s="8" t="s">
        <v>11</v>
      </c>
      <c r="H8" s="8" t="s">
        <v>11</v>
      </c>
      <c r="I8" s="24">
        <f t="shared" si="0"/>
        <v>1</v>
      </c>
    </row>
    <row r="9" spans="1:9" x14ac:dyDescent="0.35">
      <c r="A9" s="4" t="s">
        <v>58</v>
      </c>
      <c r="B9" s="8" t="s">
        <v>11</v>
      </c>
      <c r="C9" s="8">
        <v>1</v>
      </c>
      <c r="D9" s="8" t="s">
        <v>11</v>
      </c>
      <c r="E9" s="8" t="s">
        <v>11</v>
      </c>
      <c r="F9" s="8">
        <v>1</v>
      </c>
      <c r="G9" s="8" t="s">
        <v>11</v>
      </c>
      <c r="H9" s="8" t="s">
        <v>11</v>
      </c>
      <c r="I9" s="24">
        <f t="shared" si="0"/>
        <v>2</v>
      </c>
    </row>
    <row r="10" spans="1:9" x14ac:dyDescent="0.35">
      <c r="A10" s="10" t="s">
        <v>59</v>
      </c>
      <c r="B10" s="11">
        <f>SUM(B5:B9)</f>
        <v>2</v>
      </c>
      <c r="C10" s="11">
        <f t="shared" ref="C10:I10" si="1">SUM(C5:C9)</f>
        <v>5</v>
      </c>
      <c r="D10" s="11">
        <f t="shared" si="1"/>
        <v>0</v>
      </c>
      <c r="E10" s="11">
        <f t="shared" si="1"/>
        <v>0</v>
      </c>
      <c r="F10" s="11">
        <f t="shared" si="1"/>
        <v>2</v>
      </c>
      <c r="G10" s="11">
        <f t="shared" si="1"/>
        <v>1</v>
      </c>
      <c r="H10" s="11">
        <f t="shared" si="1"/>
        <v>0</v>
      </c>
      <c r="I10" s="11">
        <f t="shared" si="1"/>
        <v>10</v>
      </c>
    </row>
  </sheetData>
  <mergeCells count="1">
    <mergeCell ref="A2:I2"/>
  </mergeCells>
  <pageMargins left="0.7" right="0.7" top="0.75" bottom="0.75" header="0.3" footer="0.3"/>
  <ignoredErrors>
    <ignoredError sqref="A4:J4 A11:J12 A10 J10 A6:H9 A5:H5 J5 J6:J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7"/>
  <sheetViews>
    <sheetView workbookViewId="0">
      <selection activeCell="D15" sqref="D15"/>
    </sheetView>
  </sheetViews>
  <sheetFormatPr defaultRowHeight="18" x14ac:dyDescent="0.35"/>
  <cols>
    <col min="1" max="1" width="47.8984375" style="1" bestFit="1" customWidth="1"/>
    <col min="2" max="2" width="12.19921875" style="1" bestFit="1" customWidth="1"/>
    <col min="3" max="3" width="9.09765625" style="1" bestFit="1" customWidth="1"/>
    <col min="4" max="4" width="12.69921875" style="1" bestFit="1" customWidth="1"/>
    <col min="5" max="5" width="15.8984375" style="1" bestFit="1" customWidth="1"/>
    <col min="6" max="6" width="11.5" style="1" bestFit="1" customWidth="1"/>
    <col min="7" max="7" width="5" style="1" bestFit="1" customWidth="1"/>
    <col min="8" max="8" width="11.09765625" style="1" bestFit="1" customWidth="1"/>
    <col min="9" max="9" width="7.09765625" style="1" bestFit="1" customWidth="1"/>
    <col min="10" max="16384" width="8.796875" style="1"/>
  </cols>
  <sheetData>
    <row r="2" spans="1:9" ht="23.4" x14ac:dyDescent="0.35">
      <c r="A2" s="12" t="s">
        <v>78</v>
      </c>
      <c r="B2" s="13"/>
      <c r="C2" s="13"/>
      <c r="D2" s="13"/>
      <c r="E2" s="13"/>
      <c r="F2" s="13"/>
      <c r="G2" s="13"/>
      <c r="H2" s="13"/>
      <c r="I2" s="13"/>
    </row>
    <row r="4" spans="1:9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 x14ac:dyDescent="0.35">
      <c r="A5" s="25" t="s">
        <v>76</v>
      </c>
      <c r="B5" s="8" t="s">
        <v>11</v>
      </c>
      <c r="C5" s="8" t="s">
        <v>11</v>
      </c>
      <c r="D5" s="8" t="s">
        <v>11</v>
      </c>
      <c r="E5" s="8" t="s">
        <v>11</v>
      </c>
      <c r="F5" s="8" t="s">
        <v>11</v>
      </c>
      <c r="G5" s="8" t="s">
        <v>11</v>
      </c>
      <c r="H5" s="8">
        <v>1</v>
      </c>
      <c r="I5" s="8">
        <f>SUM(B5:H5)</f>
        <v>1</v>
      </c>
    </row>
    <row r="6" spans="1:9" x14ac:dyDescent="0.35">
      <c r="A6" s="25" t="s">
        <v>77</v>
      </c>
      <c r="B6" s="8" t="s">
        <v>11</v>
      </c>
      <c r="C6" s="8" t="s">
        <v>11</v>
      </c>
      <c r="D6" s="8" t="s">
        <v>11</v>
      </c>
      <c r="E6" s="8" t="s">
        <v>11</v>
      </c>
      <c r="F6" s="8" t="s">
        <v>11</v>
      </c>
      <c r="G6" s="8" t="s">
        <v>11</v>
      </c>
      <c r="H6" s="8">
        <v>1</v>
      </c>
      <c r="I6" s="8">
        <f>SUM(B6:H6)</f>
        <v>1</v>
      </c>
    </row>
    <row r="7" spans="1:9" x14ac:dyDescent="0.35">
      <c r="A7" s="28" t="s">
        <v>60</v>
      </c>
      <c r="B7" s="11">
        <f>SUM(B5:B6)</f>
        <v>0</v>
      </c>
      <c r="C7" s="11">
        <f t="shared" ref="C7:I7" si="0">SUM(C5:C6)</f>
        <v>0</v>
      </c>
      <c r="D7" s="11">
        <f t="shared" si="0"/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2</v>
      </c>
      <c r="I7" s="11">
        <f t="shared" si="0"/>
        <v>2</v>
      </c>
    </row>
  </sheetData>
  <mergeCells count="1">
    <mergeCell ref="A2:I2"/>
  </mergeCells>
  <pageMargins left="0.7" right="0.7" top="0.75" bottom="0.75" header="0.3" footer="0.3"/>
  <ignoredErrors>
    <ignoredError sqref="A4:J4 J6 J5 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CROISSANTS</vt:lpstr>
      <vt:lpstr>FRUIT DESSERTS</vt:lpstr>
      <vt:lpstr>TARTAS</vt:lpstr>
      <vt:lpstr>DESSERTS</vt:lpstr>
      <vt:lpstr>CAKES SLICES</vt:lpstr>
      <vt:lpstr>TRES LECHES PARTY TRAYS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Franco</cp:lastModifiedBy>
  <dcterms:modified xsi:type="dcterms:W3CDTF">2026-06-15T20:23:19Z</dcterms:modified>
</cp:coreProperties>
</file>