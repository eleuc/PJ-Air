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JHOANES BAKERY\ORDENES WHOLESALE\JUNIO\MIERCOLES 17\"/>
    </mc:Choice>
  </mc:AlternateContent>
  <xr:revisionPtr revIDLastSave="0" documentId="13_ncr:1_{C8730E2D-1E7E-4346-B22A-61882227DC63}" xr6:coauthVersionLast="47" xr6:coauthVersionMax="47" xr10:uidLastSave="{00000000-0000-0000-0000-000000000000}"/>
  <bookViews>
    <workbookView xWindow="28680" yWindow="1725" windowWidth="29040" windowHeight="15720" activeTab="6" xr2:uid="{781BF328-6A77-4E17-B869-5EA9788725C5}"/>
  </bookViews>
  <sheets>
    <sheet name="CORTELYOY" sheetId="16" r:id="rId1"/>
    <sheet name="5TH AVE" sheetId="15" r:id="rId2"/>
    <sheet name="34TH MOKA" sheetId="17" r:id="rId3"/>
    <sheet name="STATEN ISLAND" sheetId="1" r:id="rId4"/>
    <sheet name="403 BEACH" sheetId="14" r:id="rId5"/>
    <sheet name="ELM" sheetId="13" r:id="rId6"/>
    <sheet name="SPRINKLES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4" l="1"/>
  <c r="B23" i="18"/>
  <c r="B18" i="18"/>
  <c r="B38" i="13"/>
  <c r="B23" i="13"/>
  <c r="B14" i="13"/>
  <c r="B39" i="14"/>
  <c r="B33" i="14"/>
  <c r="B37" i="1"/>
  <c r="B32" i="1"/>
  <c r="B26" i="1"/>
  <c r="B14" i="1"/>
  <c r="B34" i="15"/>
  <c r="B48" i="15"/>
  <c r="B38" i="16"/>
  <c r="B32" i="16"/>
  <c r="B28" i="16"/>
  <c r="B13" i="16"/>
  <c r="B22" i="17"/>
  <c r="B15" i="17"/>
  <c r="B22" i="16"/>
  <c r="B24" i="15"/>
  <c r="B13" i="15"/>
  <c r="B28" i="14"/>
  <c r="B23" i="14"/>
  <c r="B33" i="13"/>
  <c r="B28" i="13"/>
  <c r="B9" i="13"/>
</calcChain>
</file>

<file path=xl/sharedStrings.xml><?xml version="1.0" encoding="utf-8"?>
<sst xmlns="http://schemas.openxmlformats.org/spreadsheetml/2006/main" count="294" uniqueCount="79">
  <si>
    <t>CROISSANTS</t>
  </si>
  <si>
    <t>Producto</t>
  </si>
  <si>
    <t>Cantidad (Unidades)</t>
  </si>
  <si>
    <t>NOTAS</t>
  </si>
  <si>
    <t>Almond Croissant</t>
  </si>
  <si>
    <t>Artisanal Croissant</t>
  </si>
  <si>
    <t>Dubai Chocolate Croissant</t>
  </si>
  <si>
    <t>Lemon Pie Croissant</t>
  </si>
  <si>
    <t>Pistachio Croissant</t>
  </si>
  <si>
    <t>Raspberry Croissant</t>
  </si>
  <si>
    <t>Strawberry Croissant</t>
  </si>
  <si>
    <t>TOTAL CROISSANTS</t>
  </si>
  <si>
    <t>FRUIT DESSERTS</t>
  </si>
  <si>
    <t>Mango Coco Dream</t>
  </si>
  <si>
    <t>Mango Tres Leches</t>
  </si>
  <si>
    <t>Pear Harmony</t>
  </si>
  <si>
    <t>Raspberry Secret</t>
  </si>
  <si>
    <t>Strawberry Bliss</t>
  </si>
  <si>
    <t>Zesty Lemon</t>
  </si>
  <si>
    <t>TOTAL FRUIT DESSERTS</t>
  </si>
  <si>
    <t>Fruit &amp; Cream Croissant</t>
  </si>
  <si>
    <t>Pain au Chocolat</t>
  </si>
  <si>
    <t>Virgin Piña Colada</t>
  </si>
  <si>
    <t>Chocolate Mousse Croissant</t>
  </si>
  <si>
    <t>Dulce de Leche Croissant</t>
  </si>
  <si>
    <t>TOTAL SAVORY CROISSANTS</t>
  </si>
  <si>
    <t>Blueberry Dream</t>
  </si>
  <si>
    <t>Caramel Banana Bliss</t>
  </si>
  <si>
    <t>Golden Crunch</t>
  </si>
  <si>
    <t>Rosa Elegance</t>
  </si>
  <si>
    <t>Tiramisú Cup</t>
  </si>
  <si>
    <t>Triple Chocolate Mousse</t>
  </si>
  <si>
    <t>Fruit Tart</t>
  </si>
  <si>
    <t>TOTAL DESSERTS</t>
  </si>
  <si>
    <t>TOTAL CAKE SLICES</t>
  </si>
  <si>
    <t>TARTS</t>
  </si>
  <si>
    <t>CP</t>
  </si>
  <si>
    <t>DESSERTS</t>
  </si>
  <si>
    <t>CAKE SLICES</t>
  </si>
  <si>
    <t>Lemon Tart</t>
  </si>
  <si>
    <t>TOTAL TARTAS</t>
  </si>
  <si>
    <t>Tiramisu Cup</t>
  </si>
  <si>
    <t>Opera Cake</t>
  </si>
  <si>
    <t>Cookie Croissant</t>
  </si>
  <si>
    <t>Apple Essence</t>
  </si>
  <si>
    <t>Caramel Banana Bliss.</t>
  </si>
  <si>
    <t>Orange Blossom Delight</t>
  </si>
  <si>
    <t>Tropical Bliss</t>
  </si>
  <si>
    <t>Dulce de Leche Cheesecake Slice x10</t>
  </si>
  <si>
    <t>Tiramisu Slice x10</t>
  </si>
  <si>
    <t>Strawberry Tart</t>
  </si>
  <si>
    <t>SAVORY CROISSANTS</t>
  </si>
  <si>
    <t>MAS INFORMACION EN LA SIGUIENTE PAGINA</t>
  </si>
  <si>
    <t>PEDIDO: 5TH AVE - MOKA
FECHA ENTREGA: MIERCOLES 17 DE JUNIO
CHOFER ASIGNADO: JOHANNTN
DIRECCION:  7500 5th Ave, Brooklyn, NY 11209</t>
  </si>
  <si>
    <t>PEDIDO: STATEN ISLAND MOKA
FECHA ENTREGA: MIERCOLES 17 DE JUNIO
CHOFER ASIGNADO: JOHANNTN
DIRECCION:  193 New Dorp, Staten Island, NY 10306</t>
  </si>
  <si>
    <t xml:space="preserve">PEDIDO: 403 BEACH - KOKA
FECHA ENTREGA: MIERCOLES 17 DE JUNIO
CHOFER ASIGNADO: JOHANNTN
DIRECCION:  </t>
  </si>
  <si>
    <t>Fruit Danish</t>
  </si>
  <si>
    <t>Napoleon</t>
  </si>
  <si>
    <t>New York Cheesecake Slices x10</t>
  </si>
  <si>
    <t xml:space="preserve">PEDIDO: CORTELYOU
FECHA ENTREGA: MIERCOLES 17 DE JUNIO
CHOFER ASIGNADO: JOHANNTN
DIRECCION:  1418 cortelyou road Brooklyn ny 11226 </t>
  </si>
  <si>
    <t>Emerald Temptation</t>
  </si>
  <si>
    <t>Golden Love</t>
  </si>
  <si>
    <t>Crème Brûlée</t>
  </si>
  <si>
    <t>Pistacho Crème Brûlée</t>
  </si>
  <si>
    <t>Red Velvet Cheesecake</t>
  </si>
  <si>
    <t>Strawberry Swiss Roll</t>
  </si>
  <si>
    <t>Black Forest Slice x10</t>
  </si>
  <si>
    <t>Nutella Cheesecake x10</t>
  </si>
  <si>
    <t>Classic Tres Leches</t>
  </si>
  <si>
    <t>Nutella New York Roll</t>
  </si>
  <si>
    <t xml:space="preserve">PEDIDO: 34TH MOKA
FECHA ENTREGA: MIERCOLES 17 DE JUNIO
CHOFER ASIGNADO: JOHANNTN
DIRECCION:  142 W 34th street </t>
  </si>
  <si>
    <t>PEDIDO: ELM MOKA
FECHA ENTREGA: MIERCOLES 17 DE JUNIO
CHOFER ASIGNADO: JOHANNTN
DIRECCION:  1510 Elm Ave, Brooklyn, NY 11230</t>
  </si>
  <si>
    <t xml:space="preserve">Chicken Pan Swiss </t>
  </si>
  <si>
    <t>Dubai Chocolate Pistacho Tres Leches (Party Tray)</t>
  </si>
  <si>
    <t>Dulce de Leche Tres Leches (Party Tray)</t>
  </si>
  <si>
    <t>PARTY TRAYS</t>
  </si>
  <si>
    <t>TOTAL PARTY TRAYS</t>
  </si>
  <si>
    <t>NO CORTARLA</t>
  </si>
  <si>
    <r>
      <t xml:space="preserve">PEDIDO: Pinch of Sprinkles Bake Shoppe - </t>
    </r>
    <r>
      <rPr>
        <b/>
        <sz val="14"/>
        <color rgb="FFFF0000"/>
        <rFont val="Arial"/>
        <family val="2"/>
      </rPr>
      <t>NUEVA TIENDA</t>
    </r>
    <r>
      <rPr>
        <b/>
        <sz val="14"/>
        <color theme="1"/>
        <rFont val="Arial"/>
        <family val="2"/>
      </rPr>
      <t xml:space="preserve">
FECHA ENTREGA: MIERCOLES 17 DE JUNIO
CHOFER ASIGNADO: PIDIÓ SER RECOGIDO EN JHÓANES TIENDA
EMPACAR EN CAJAS DE CARTON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</si>
</sst>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ptos Narrow"/>
      <family val="2"/>
      <scheme val="minor"/>
    </font>
    <font>
      <b/>
      <sz val="13"/>
      <color rgb="FF1F1F1F"/>
      <name val="Arial"/>
      <family val="2"/>
    </font>
    <font>
      <sz val="14"/>
      <color rgb="FF1F1F1F"/>
      <name val="Arial"/>
      <family val="2"/>
    </font>
    <font>
      <b/>
      <sz val="14"/>
      <color rgb="FF1F1F1F"/>
      <name val="Arial"/>
      <family val="2"/>
    </font>
    <font>
      <b/>
      <sz val="18"/>
      <color theme="1"/>
      <name val="Aptos Narrow"/>
      <family val="2"/>
      <scheme val="minor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4" borderId="2" xfId="0" applyFont="1" applyFill="1" applyBorder="1" applyAlignment="1">
      <alignment horizontal="left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5" fillId="2" borderId="3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left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E29D-C964-4ECD-8B7F-077635314F99}">
  <dimension ref="A1:D38"/>
  <sheetViews>
    <sheetView workbookViewId="0">
      <selection activeCell="D13" sqref="D13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59</v>
      </c>
      <c r="B1" s="22"/>
      <c r="C1" s="22"/>
    </row>
    <row r="2" spans="1:4" ht="55.2" customHeight="1" x14ac:dyDescent="0.3">
      <c r="A2" s="22"/>
      <c r="B2" s="22"/>
      <c r="C2" s="22"/>
      <c r="D2" s="1"/>
    </row>
    <row r="3" spans="1:4" ht="17.399999999999999" x14ac:dyDescent="0.35">
      <c r="A3" s="2" t="s">
        <v>0</v>
      </c>
      <c r="B3" s="3"/>
      <c r="C3" s="3"/>
    </row>
    <row r="4" spans="1:4" ht="16.8" x14ac:dyDescent="0.3">
      <c r="A4" s="4" t="s">
        <v>1</v>
      </c>
      <c r="B4" s="5" t="s">
        <v>2</v>
      </c>
      <c r="C4" s="5" t="s">
        <v>3</v>
      </c>
    </row>
    <row r="5" spans="1:4" ht="17.399999999999999" x14ac:dyDescent="0.3">
      <c r="A5" s="6" t="s">
        <v>4</v>
      </c>
      <c r="B5" s="7">
        <v>6</v>
      </c>
      <c r="C5" s="8"/>
    </row>
    <row r="6" spans="1:4" ht="17.399999999999999" x14ac:dyDescent="0.3">
      <c r="A6" s="6" t="s">
        <v>5</v>
      </c>
      <c r="B6" s="7">
        <v>6</v>
      </c>
      <c r="C6" s="8"/>
    </row>
    <row r="7" spans="1:4" ht="17.399999999999999" x14ac:dyDescent="0.3">
      <c r="A7" s="6" t="s">
        <v>6</v>
      </c>
      <c r="B7" s="7">
        <v>6</v>
      </c>
      <c r="C7" s="8"/>
    </row>
    <row r="8" spans="1:4" ht="17.399999999999999" x14ac:dyDescent="0.3">
      <c r="A8" s="6" t="s">
        <v>56</v>
      </c>
      <c r="B8" s="7">
        <v>6</v>
      </c>
      <c r="C8" s="8"/>
    </row>
    <row r="9" spans="1:4" ht="17.399999999999999" x14ac:dyDescent="0.3">
      <c r="A9" s="6" t="s">
        <v>7</v>
      </c>
      <c r="B9" s="7">
        <v>6</v>
      </c>
      <c r="C9" s="8"/>
    </row>
    <row r="10" spans="1:4" ht="17.399999999999999" x14ac:dyDescent="0.3">
      <c r="A10" s="6" t="s">
        <v>21</v>
      </c>
      <c r="B10" s="7">
        <v>6</v>
      </c>
      <c r="C10" s="8"/>
    </row>
    <row r="11" spans="1:4" ht="21.6" customHeight="1" x14ac:dyDescent="0.3">
      <c r="A11" s="6" t="s">
        <v>8</v>
      </c>
      <c r="B11" s="7">
        <v>6</v>
      </c>
      <c r="C11" s="8"/>
    </row>
    <row r="12" spans="1:4" ht="17.399999999999999" x14ac:dyDescent="0.3">
      <c r="A12" s="6" t="s">
        <v>9</v>
      </c>
      <c r="B12" s="7">
        <v>6</v>
      </c>
      <c r="C12" s="8"/>
    </row>
    <row r="13" spans="1:4" ht="15.75" customHeight="1" x14ac:dyDescent="0.3">
      <c r="A13" s="9" t="s">
        <v>11</v>
      </c>
      <c r="B13" s="10">
        <f>SUM(B5:B12)</f>
        <v>48</v>
      </c>
    </row>
    <row r="14" spans="1:4" ht="17.399999999999999" x14ac:dyDescent="0.35">
      <c r="A14" s="2" t="s">
        <v>12</v>
      </c>
      <c r="B14" s="3"/>
      <c r="C14" s="3"/>
    </row>
    <row r="15" spans="1:4" ht="16.8" x14ac:dyDescent="0.3">
      <c r="A15" s="4" t="s">
        <v>1</v>
      </c>
      <c r="B15" s="5" t="s">
        <v>2</v>
      </c>
      <c r="C15" s="5" t="s">
        <v>3</v>
      </c>
    </row>
    <row r="16" spans="1:4" ht="17.399999999999999" x14ac:dyDescent="0.3">
      <c r="A16" s="6" t="s">
        <v>14</v>
      </c>
      <c r="B16" s="7">
        <v>6</v>
      </c>
      <c r="C16" s="8"/>
    </row>
    <row r="17" spans="1:3" ht="17.399999999999999" x14ac:dyDescent="0.3">
      <c r="A17" s="6" t="s">
        <v>15</v>
      </c>
      <c r="B17" s="7">
        <v>6</v>
      </c>
      <c r="C17" s="8"/>
    </row>
    <row r="18" spans="1:3" ht="17.399999999999999" x14ac:dyDescent="0.3">
      <c r="A18" s="6" t="s">
        <v>16</v>
      </c>
      <c r="B18" s="7">
        <v>6</v>
      </c>
      <c r="C18" s="8"/>
    </row>
    <row r="19" spans="1:3" ht="17.399999999999999" x14ac:dyDescent="0.3">
      <c r="A19" s="6" t="s">
        <v>17</v>
      </c>
      <c r="B19" s="7">
        <v>6</v>
      </c>
      <c r="C19" s="8"/>
    </row>
    <row r="20" spans="1:3" ht="17.399999999999999" x14ac:dyDescent="0.3">
      <c r="A20" s="6" t="s">
        <v>41</v>
      </c>
      <c r="B20" s="7">
        <v>6</v>
      </c>
      <c r="C20" s="8"/>
    </row>
    <row r="21" spans="1:3" ht="17.399999999999999" x14ac:dyDescent="0.3">
      <c r="A21" s="6" t="s">
        <v>31</v>
      </c>
      <c r="B21" s="7">
        <v>6</v>
      </c>
      <c r="C21" s="8"/>
    </row>
    <row r="22" spans="1:3" ht="17.399999999999999" x14ac:dyDescent="0.3">
      <c r="A22" s="12" t="s">
        <v>19</v>
      </c>
      <c r="B22" s="10">
        <f>SUM(B16:B21)</f>
        <v>36</v>
      </c>
    </row>
    <row r="23" spans="1:3" ht="17.399999999999999" x14ac:dyDescent="0.35">
      <c r="A23" s="2" t="s">
        <v>35</v>
      </c>
      <c r="B23" s="3"/>
      <c r="C23" s="3"/>
    </row>
    <row r="24" spans="1:3" ht="16.8" x14ac:dyDescent="0.3">
      <c r="A24" s="4" t="s">
        <v>1</v>
      </c>
      <c r="B24" s="5" t="s">
        <v>2</v>
      </c>
      <c r="C24" s="5" t="s">
        <v>3</v>
      </c>
    </row>
    <row r="25" spans="1:3" ht="17.399999999999999" x14ac:dyDescent="0.3">
      <c r="A25" s="14" t="s">
        <v>32</v>
      </c>
      <c r="B25" s="15">
        <v>6</v>
      </c>
      <c r="C25" s="15" t="s">
        <v>36</v>
      </c>
    </row>
    <row r="26" spans="1:3" ht="17.399999999999999" x14ac:dyDescent="0.3">
      <c r="A26" s="14" t="s">
        <v>39</v>
      </c>
      <c r="B26" s="15">
        <v>6</v>
      </c>
      <c r="C26" s="15" t="s">
        <v>36</v>
      </c>
    </row>
    <row r="27" spans="1:3" ht="17.399999999999999" x14ac:dyDescent="0.3">
      <c r="A27" s="14" t="s">
        <v>50</v>
      </c>
      <c r="B27" s="15">
        <v>6</v>
      </c>
      <c r="C27" s="15" t="s">
        <v>36</v>
      </c>
    </row>
    <row r="28" spans="1:3" ht="17.399999999999999" x14ac:dyDescent="0.3">
      <c r="A28" s="12" t="s">
        <v>19</v>
      </c>
      <c r="B28" s="10">
        <f>SUM(B25:B27)</f>
        <v>18</v>
      </c>
    </row>
    <row r="29" spans="1:3" ht="17.399999999999999" x14ac:dyDescent="0.35">
      <c r="A29" s="2" t="s">
        <v>37</v>
      </c>
      <c r="B29" s="3"/>
      <c r="C29" s="3"/>
    </row>
    <row r="30" spans="1:3" ht="16.8" x14ac:dyDescent="0.3">
      <c r="A30" s="4" t="s">
        <v>1</v>
      </c>
      <c r="B30" s="5" t="s">
        <v>2</v>
      </c>
      <c r="C30" s="5" t="s">
        <v>3</v>
      </c>
    </row>
    <row r="31" spans="1:3" ht="17.399999999999999" x14ac:dyDescent="0.3">
      <c r="A31" s="6" t="s">
        <v>57</v>
      </c>
      <c r="B31" s="7">
        <v>6</v>
      </c>
    </row>
    <row r="32" spans="1:3" ht="17.399999999999999" x14ac:dyDescent="0.3">
      <c r="A32" s="12" t="s">
        <v>33</v>
      </c>
      <c r="B32" s="10">
        <f>SUM(B29:B31)</f>
        <v>6</v>
      </c>
    </row>
    <row r="34" spans="1:3" ht="17.399999999999999" x14ac:dyDescent="0.35">
      <c r="A34" s="2" t="s">
        <v>38</v>
      </c>
      <c r="B34" s="3"/>
      <c r="C34" s="3"/>
    </row>
    <row r="35" spans="1:3" ht="16.8" x14ac:dyDescent="0.3">
      <c r="A35" s="4" t="s">
        <v>1</v>
      </c>
      <c r="B35" s="5" t="s">
        <v>2</v>
      </c>
      <c r="C35" s="5" t="s">
        <v>3</v>
      </c>
    </row>
    <row r="36" spans="1:3" ht="34.799999999999997" x14ac:dyDescent="0.3">
      <c r="A36" s="14" t="s">
        <v>48</v>
      </c>
      <c r="B36" s="15">
        <v>1</v>
      </c>
      <c r="C36" s="15" t="s">
        <v>36</v>
      </c>
    </row>
    <row r="37" spans="1:3" ht="17.399999999999999" x14ac:dyDescent="0.3">
      <c r="A37" s="14" t="s">
        <v>58</v>
      </c>
      <c r="B37" s="15">
        <v>1</v>
      </c>
      <c r="C37" s="15" t="s">
        <v>36</v>
      </c>
    </row>
    <row r="38" spans="1:3" ht="17.399999999999999" x14ac:dyDescent="0.3">
      <c r="A38" s="12" t="s">
        <v>34</v>
      </c>
      <c r="B38" s="10">
        <f>SUM(B35:B37)</f>
        <v>2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AC63-C7BB-4CDB-A1F2-23862FC0C057}">
  <dimension ref="A1:D48"/>
  <sheetViews>
    <sheetView workbookViewId="0">
      <selection activeCell="D22" sqref="D22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53</v>
      </c>
      <c r="B1" s="22"/>
      <c r="C1" s="22"/>
    </row>
    <row r="2" spans="1:4" ht="54.6" customHeight="1" x14ac:dyDescent="0.3">
      <c r="A2" s="22"/>
      <c r="B2" s="22"/>
      <c r="C2" s="22"/>
      <c r="D2" s="1"/>
    </row>
    <row r="3" spans="1:4" ht="15" customHeight="1" x14ac:dyDescent="0.3">
      <c r="A3" s="16"/>
      <c r="B3" s="17"/>
      <c r="C3" s="17"/>
      <c r="D3" s="1"/>
    </row>
    <row r="4" spans="1:4" ht="17.399999999999999" x14ac:dyDescent="0.35">
      <c r="A4" s="2" t="s">
        <v>0</v>
      </c>
      <c r="B4" s="3"/>
      <c r="C4" s="3"/>
    </row>
    <row r="5" spans="1:4" ht="16.8" x14ac:dyDescent="0.3">
      <c r="A5" s="4" t="s">
        <v>1</v>
      </c>
      <c r="B5" s="5" t="s">
        <v>2</v>
      </c>
      <c r="C5" s="5" t="s">
        <v>3</v>
      </c>
    </row>
    <row r="6" spans="1:4" ht="17.399999999999999" x14ac:dyDescent="0.3">
      <c r="A6" s="6" t="s">
        <v>4</v>
      </c>
      <c r="B6" s="7">
        <v>10</v>
      </c>
      <c r="C6" s="8"/>
    </row>
    <row r="7" spans="1:4" ht="17.399999999999999" x14ac:dyDescent="0.3">
      <c r="A7" s="6" t="s">
        <v>23</v>
      </c>
      <c r="B7" s="7">
        <v>6</v>
      </c>
      <c r="C7" s="8"/>
    </row>
    <row r="8" spans="1:4" ht="17.399999999999999" x14ac:dyDescent="0.3">
      <c r="A8" s="6" t="s">
        <v>24</v>
      </c>
      <c r="B8" s="7">
        <v>6</v>
      </c>
      <c r="C8" s="8"/>
    </row>
    <row r="9" spans="1:4" ht="17.399999999999999" x14ac:dyDescent="0.3">
      <c r="A9" s="6" t="s">
        <v>20</v>
      </c>
      <c r="B9" s="7">
        <v>8</v>
      </c>
      <c r="C9" s="8"/>
    </row>
    <row r="10" spans="1:4" ht="17.399999999999999" x14ac:dyDescent="0.3">
      <c r="A10" s="6" t="s">
        <v>56</v>
      </c>
      <c r="B10" s="7">
        <v>4</v>
      </c>
      <c r="C10" s="8"/>
    </row>
    <row r="11" spans="1:4" ht="17.399999999999999" x14ac:dyDescent="0.3">
      <c r="A11" s="6" t="s">
        <v>8</v>
      </c>
      <c r="B11" s="7">
        <v>6</v>
      </c>
      <c r="C11" s="8"/>
    </row>
    <row r="12" spans="1:4" ht="21.6" customHeight="1" x14ac:dyDescent="0.3">
      <c r="A12" s="6" t="s">
        <v>9</v>
      </c>
      <c r="B12" s="7">
        <v>6</v>
      </c>
      <c r="C12" s="8"/>
    </row>
    <row r="13" spans="1:4" ht="17.399999999999999" x14ac:dyDescent="0.3">
      <c r="A13" s="9" t="s">
        <v>11</v>
      </c>
      <c r="B13" s="10">
        <f>SUM(B6:B12)</f>
        <v>46</v>
      </c>
    </row>
    <row r="14" spans="1:4" ht="17.399999999999999" x14ac:dyDescent="0.3">
      <c r="A14" s="18"/>
      <c r="B14" s="19"/>
    </row>
    <row r="15" spans="1:4" ht="17.399999999999999" x14ac:dyDescent="0.35">
      <c r="A15" s="2" t="s">
        <v>12</v>
      </c>
      <c r="B15" s="3"/>
      <c r="C15" s="3"/>
    </row>
    <row r="16" spans="1:4" ht="16.8" x14ac:dyDescent="0.3">
      <c r="A16" s="4" t="s">
        <v>1</v>
      </c>
      <c r="B16" s="5" t="s">
        <v>2</v>
      </c>
      <c r="C16" s="5" t="s">
        <v>3</v>
      </c>
    </row>
    <row r="17" spans="1:3" ht="17.399999999999999" x14ac:dyDescent="0.3">
      <c r="A17" s="6" t="s">
        <v>44</v>
      </c>
      <c r="B17" s="7">
        <v>4</v>
      </c>
      <c r="C17" s="8"/>
    </row>
    <row r="18" spans="1:3" ht="17.399999999999999" x14ac:dyDescent="0.3">
      <c r="A18" s="6" t="s">
        <v>27</v>
      </c>
      <c r="B18" s="7">
        <v>6</v>
      </c>
      <c r="C18" s="8"/>
    </row>
    <row r="19" spans="1:3" ht="17.399999999999999" x14ac:dyDescent="0.3">
      <c r="A19" s="6" t="s">
        <v>60</v>
      </c>
      <c r="B19" s="7">
        <v>4</v>
      </c>
      <c r="C19" s="8"/>
    </row>
    <row r="20" spans="1:3" ht="17.399999999999999" x14ac:dyDescent="0.3">
      <c r="A20" s="6" t="s">
        <v>28</v>
      </c>
      <c r="B20" s="7">
        <v>6</v>
      </c>
      <c r="C20" s="8"/>
    </row>
    <row r="21" spans="1:3" ht="17.399999999999999" x14ac:dyDescent="0.3">
      <c r="A21" s="6" t="s">
        <v>61</v>
      </c>
      <c r="B21" s="7">
        <v>6</v>
      </c>
      <c r="C21" s="8"/>
    </row>
    <row r="22" spans="1:3" ht="17.399999999999999" x14ac:dyDescent="0.3">
      <c r="A22" s="6" t="s">
        <v>31</v>
      </c>
      <c r="B22" s="7">
        <v>4</v>
      </c>
      <c r="C22" s="8"/>
    </row>
    <row r="23" spans="1:3" ht="17.399999999999999" x14ac:dyDescent="0.3">
      <c r="A23" s="6" t="s">
        <v>47</v>
      </c>
      <c r="B23" s="7">
        <v>4</v>
      </c>
      <c r="C23" s="8"/>
    </row>
    <row r="24" spans="1:3" ht="17.399999999999999" x14ac:dyDescent="0.3">
      <c r="A24" s="12" t="s">
        <v>19</v>
      </c>
      <c r="B24" s="10">
        <f>SUM(B17:B23)</f>
        <v>34</v>
      </c>
    </row>
    <row r="26" spans="1:3" ht="17.399999999999999" x14ac:dyDescent="0.35">
      <c r="A26" s="2" t="s">
        <v>37</v>
      </c>
      <c r="B26" s="3"/>
      <c r="C26" s="3"/>
    </row>
    <row r="27" spans="1:3" ht="16.8" x14ac:dyDescent="0.3">
      <c r="A27" s="4" t="s">
        <v>1</v>
      </c>
      <c r="B27" s="5" t="s">
        <v>2</v>
      </c>
      <c r="C27" s="5" t="s">
        <v>3</v>
      </c>
    </row>
    <row r="28" spans="1:3" ht="17.399999999999999" x14ac:dyDescent="0.3">
      <c r="A28" s="14" t="s">
        <v>68</v>
      </c>
      <c r="B28" s="15">
        <v>6</v>
      </c>
      <c r="C28" s="15" t="s">
        <v>36</v>
      </c>
    </row>
    <row r="29" spans="1:3" ht="17.399999999999999" x14ac:dyDescent="0.3">
      <c r="A29" s="14" t="s">
        <v>62</v>
      </c>
      <c r="B29" s="15">
        <v>6</v>
      </c>
      <c r="C29" s="15" t="s">
        <v>36</v>
      </c>
    </row>
    <row r="30" spans="1:3" ht="17.399999999999999" x14ac:dyDescent="0.3">
      <c r="A30" s="14" t="s">
        <v>42</v>
      </c>
      <c r="B30" s="15">
        <v>6</v>
      </c>
      <c r="C30" s="15" t="s">
        <v>36</v>
      </c>
    </row>
    <row r="31" spans="1:3" ht="17.399999999999999" x14ac:dyDescent="0.3">
      <c r="A31" s="14" t="s">
        <v>63</v>
      </c>
      <c r="B31" s="15">
        <v>4</v>
      </c>
      <c r="C31" s="15" t="s">
        <v>36</v>
      </c>
    </row>
    <row r="32" spans="1:3" ht="17.399999999999999" x14ac:dyDescent="0.3">
      <c r="A32" s="14" t="s">
        <v>64</v>
      </c>
      <c r="B32" s="15">
        <v>6</v>
      </c>
      <c r="C32" s="15" t="s">
        <v>36</v>
      </c>
    </row>
    <row r="33" spans="1:3" ht="17.399999999999999" x14ac:dyDescent="0.3">
      <c r="A33" s="14" t="s">
        <v>65</v>
      </c>
      <c r="B33" s="15">
        <v>4</v>
      </c>
      <c r="C33" s="15" t="s">
        <v>36</v>
      </c>
    </row>
    <row r="34" spans="1:3" ht="17.399999999999999" x14ac:dyDescent="0.3">
      <c r="A34" s="12" t="s">
        <v>33</v>
      </c>
      <c r="B34" s="21">
        <f>SUM(B28:B33)</f>
        <v>32</v>
      </c>
    </row>
    <row r="37" spans="1:3" ht="23.4" x14ac:dyDescent="0.45">
      <c r="A37" s="23" t="s">
        <v>52</v>
      </c>
      <c r="B37" s="23"/>
      <c r="C37" s="23"/>
    </row>
    <row r="41" spans="1:3" ht="17.399999999999999" x14ac:dyDescent="0.35">
      <c r="A41" s="2" t="s">
        <v>38</v>
      </c>
      <c r="B41" s="3"/>
      <c r="C41" s="3"/>
    </row>
    <row r="42" spans="1:3" ht="16.8" x14ac:dyDescent="0.3">
      <c r="A42" s="4" t="s">
        <v>1</v>
      </c>
      <c r="B42" s="5" t="s">
        <v>2</v>
      </c>
      <c r="C42" s="5" t="s">
        <v>3</v>
      </c>
    </row>
    <row r="43" spans="1:3" ht="17.399999999999999" x14ac:dyDescent="0.3">
      <c r="A43" s="14" t="s">
        <v>66</v>
      </c>
      <c r="B43" s="15">
        <v>1</v>
      </c>
      <c r="C43" s="15" t="s">
        <v>36</v>
      </c>
    </row>
    <row r="44" spans="1:3" ht="34.799999999999997" x14ac:dyDescent="0.3">
      <c r="A44" s="14" t="s">
        <v>48</v>
      </c>
      <c r="B44" s="15">
        <v>1</v>
      </c>
      <c r="C44" s="15" t="s">
        <v>36</v>
      </c>
    </row>
    <row r="45" spans="1:3" ht="17.399999999999999" x14ac:dyDescent="0.3">
      <c r="A45" s="14" t="s">
        <v>58</v>
      </c>
      <c r="B45" s="15">
        <v>1</v>
      </c>
      <c r="C45" s="15" t="s">
        <v>36</v>
      </c>
    </row>
    <row r="46" spans="1:3" ht="17.399999999999999" x14ac:dyDescent="0.3">
      <c r="A46" s="14" t="s">
        <v>67</v>
      </c>
      <c r="B46" s="15">
        <v>1</v>
      </c>
      <c r="C46" s="15" t="s">
        <v>36</v>
      </c>
    </row>
    <row r="47" spans="1:3" ht="17.399999999999999" x14ac:dyDescent="0.3">
      <c r="A47" s="14" t="s">
        <v>49</v>
      </c>
      <c r="B47" s="15">
        <v>1</v>
      </c>
      <c r="C47" s="15" t="s">
        <v>36</v>
      </c>
    </row>
    <row r="48" spans="1:3" ht="17.399999999999999" x14ac:dyDescent="0.3">
      <c r="A48" s="12" t="s">
        <v>34</v>
      </c>
      <c r="B48" s="10">
        <f>SUM(B43:B47)</f>
        <v>5</v>
      </c>
    </row>
  </sheetData>
  <mergeCells count="2">
    <mergeCell ref="A1:C2"/>
    <mergeCell ref="A37:C37"/>
  </mergeCells>
  <pageMargins left="0.7" right="0.7" top="0.37" bottom="0.18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2CFA-5708-4A3E-9324-BE7E9D74D3D5}">
  <dimension ref="A1:D22"/>
  <sheetViews>
    <sheetView workbookViewId="0">
      <selection activeCell="D22" sqref="D22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70</v>
      </c>
      <c r="B1" s="22"/>
      <c r="C1" s="22"/>
    </row>
    <row r="2" spans="1:4" ht="58.2" customHeight="1" x14ac:dyDescent="0.3">
      <c r="A2" s="22"/>
      <c r="B2" s="22"/>
      <c r="C2" s="22"/>
      <c r="D2" s="1"/>
    </row>
    <row r="3" spans="1:4" ht="15.6" customHeight="1" x14ac:dyDescent="0.3">
      <c r="A3" s="16"/>
      <c r="B3" s="17"/>
      <c r="C3" s="17"/>
      <c r="D3" s="1"/>
    </row>
    <row r="4" spans="1:4" ht="17.399999999999999" x14ac:dyDescent="0.35">
      <c r="A4" s="2" t="s">
        <v>0</v>
      </c>
      <c r="B4" s="3"/>
      <c r="C4" s="3"/>
    </row>
    <row r="5" spans="1:4" ht="16.8" x14ac:dyDescent="0.3">
      <c r="A5" s="4" t="s">
        <v>1</v>
      </c>
      <c r="B5" s="5" t="s">
        <v>2</v>
      </c>
      <c r="C5" s="5" t="s">
        <v>3</v>
      </c>
    </row>
    <row r="6" spans="1:4" ht="17.399999999999999" x14ac:dyDescent="0.3">
      <c r="A6" s="6" t="s">
        <v>4</v>
      </c>
      <c r="B6" s="7">
        <v>20</v>
      </c>
      <c r="C6" s="8"/>
    </row>
    <row r="7" spans="1:4" ht="17.399999999999999" x14ac:dyDescent="0.3">
      <c r="A7" s="6" t="s">
        <v>5</v>
      </c>
      <c r="B7" s="7">
        <v>80</v>
      </c>
      <c r="C7" s="8"/>
    </row>
    <row r="8" spans="1:4" ht="17.399999999999999" x14ac:dyDescent="0.3">
      <c r="A8" s="6" t="s">
        <v>23</v>
      </c>
      <c r="B8" s="7">
        <v>15</v>
      </c>
      <c r="C8" s="8"/>
    </row>
    <row r="9" spans="1:4" ht="17.399999999999999" x14ac:dyDescent="0.3">
      <c r="A9" s="6" t="s">
        <v>43</v>
      </c>
      <c r="B9" s="7">
        <v>12</v>
      </c>
      <c r="C9" s="8"/>
    </row>
    <row r="10" spans="1:4" ht="17.399999999999999" x14ac:dyDescent="0.3">
      <c r="A10" s="6" t="s">
        <v>6</v>
      </c>
      <c r="B10" s="7">
        <v>12</v>
      </c>
      <c r="C10" s="8"/>
    </row>
    <row r="11" spans="1:4" ht="17.399999999999999" x14ac:dyDescent="0.3">
      <c r="A11" s="6" t="s">
        <v>24</v>
      </c>
      <c r="B11" s="7">
        <v>12</v>
      </c>
      <c r="C11" s="8"/>
    </row>
    <row r="12" spans="1:4" ht="21.6" customHeight="1" x14ac:dyDescent="0.3">
      <c r="A12" s="6" t="s">
        <v>69</v>
      </c>
      <c r="B12" s="7">
        <v>12</v>
      </c>
      <c r="C12" s="8"/>
    </row>
    <row r="13" spans="1:4" ht="17.399999999999999" x14ac:dyDescent="0.3">
      <c r="A13" s="6" t="s">
        <v>21</v>
      </c>
      <c r="B13" s="7">
        <v>12</v>
      </c>
      <c r="C13" s="8"/>
    </row>
    <row r="14" spans="1:4" ht="17.399999999999999" x14ac:dyDescent="0.3">
      <c r="A14" s="6" t="s">
        <v>10</v>
      </c>
      <c r="B14" s="7">
        <v>10</v>
      </c>
      <c r="C14" s="8"/>
    </row>
    <row r="15" spans="1:4" ht="17.399999999999999" x14ac:dyDescent="0.3">
      <c r="A15" s="9" t="s">
        <v>11</v>
      </c>
      <c r="B15" s="10">
        <f>SUM(B6:B14)</f>
        <v>185</v>
      </c>
    </row>
    <row r="16" spans="1:4" ht="17.399999999999999" x14ac:dyDescent="0.3">
      <c r="A16" s="18"/>
      <c r="B16" s="19"/>
    </row>
    <row r="17" spans="1:3" ht="17.399999999999999" x14ac:dyDescent="0.35">
      <c r="A17" s="2" t="s">
        <v>12</v>
      </c>
      <c r="B17" s="3"/>
      <c r="C17" s="3"/>
    </row>
    <row r="18" spans="1:3" ht="16.8" x14ac:dyDescent="0.3">
      <c r="A18" s="4" t="s">
        <v>1</v>
      </c>
      <c r="B18" s="5" t="s">
        <v>2</v>
      </c>
      <c r="C18" s="5" t="s">
        <v>3</v>
      </c>
    </row>
    <row r="19" spans="1:3" ht="17.399999999999999" x14ac:dyDescent="0.3">
      <c r="A19" s="6" t="s">
        <v>44</v>
      </c>
      <c r="B19" s="7">
        <v>12</v>
      </c>
      <c r="C19" s="8"/>
    </row>
    <row r="20" spans="1:3" ht="17.399999999999999" x14ac:dyDescent="0.3">
      <c r="A20" s="6" t="s">
        <v>13</v>
      </c>
      <c r="B20" s="7">
        <v>12</v>
      </c>
      <c r="C20" s="8"/>
    </row>
    <row r="21" spans="1:3" ht="17.399999999999999" x14ac:dyDescent="0.3">
      <c r="A21" s="6" t="s">
        <v>14</v>
      </c>
      <c r="B21" s="7">
        <v>30</v>
      </c>
      <c r="C21" s="8"/>
    </row>
    <row r="22" spans="1:3" ht="17.399999999999999" x14ac:dyDescent="0.3">
      <c r="A22" s="12" t="s">
        <v>19</v>
      </c>
      <c r="B22" s="10">
        <f>SUM(B19:B21)</f>
        <v>54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E948-C907-4E25-B982-FD20C0F8E80B}">
  <dimension ref="A1:D37"/>
  <sheetViews>
    <sheetView workbookViewId="0">
      <selection activeCell="D19" sqref="D19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54</v>
      </c>
      <c r="B1" s="22"/>
      <c r="C1" s="22"/>
    </row>
    <row r="2" spans="1:4" ht="55.2" customHeight="1" x14ac:dyDescent="0.3">
      <c r="A2" s="22"/>
      <c r="B2" s="22"/>
      <c r="C2" s="22"/>
      <c r="D2" s="1"/>
    </row>
    <row r="3" spans="1:4" ht="14.4" customHeight="1" x14ac:dyDescent="0.3">
      <c r="A3" s="16"/>
      <c r="B3" s="17"/>
      <c r="C3" s="17"/>
      <c r="D3" s="1"/>
    </row>
    <row r="4" spans="1:4" ht="17.399999999999999" x14ac:dyDescent="0.35">
      <c r="A4" s="2" t="s">
        <v>0</v>
      </c>
      <c r="B4" s="3"/>
      <c r="C4" s="3"/>
    </row>
    <row r="5" spans="1:4" ht="16.8" x14ac:dyDescent="0.3">
      <c r="A5" s="4" t="s">
        <v>1</v>
      </c>
      <c r="B5" s="5" t="s">
        <v>2</v>
      </c>
      <c r="C5" s="5" t="s">
        <v>3</v>
      </c>
    </row>
    <row r="6" spans="1:4" ht="17.399999999999999" x14ac:dyDescent="0.3">
      <c r="A6" s="6" t="s">
        <v>4</v>
      </c>
      <c r="B6" s="7">
        <v>6</v>
      </c>
      <c r="C6" s="8"/>
    </row>
    <row r="7" spans="1:4" ht="17.399999999999999" x14ac:dyDescent="0.3">
      <c r="A7" s="6" t="s">
        <v>5</v>
      </c>
      <c r="B7" s="7">
        <v>8</v>
      </c>
      <c r="C7" s="8"/>
    </row>
    <row r="8" spans="1:4" ht="17.399999999999999" x14ac:dyDescent="0.3">
      <c r="A8" s="6" t="s">
        <v>23</v>
      </c>
      <c r="B8" s="7">
        <v>4</v>
      </c>
      <c r="C8" s="8"/>
    </row>
    <row r="9" spans="1:4" ht="17.399999999999999" x14ac:dyDescent="0.3">
      <c r="A9" s="6" t="s">
        <v>6</v>
      </c>
      <c r="B9" s="7">
        <v>6</v>
      </c>
      <c r="C9" s="8"/>
    </row>
    <row r="10" spans="1:4" ht="17.399999999999999" x14ac:dyDescent="0.3">
      <c r="A10" s="6" t="s">
        <v>24</v>
      </c>
      <c r="B10" s="7">
        <v>4</v>
      </c>
      <c r="C10" s="8"/>
    </row>
    <row r="11" spans="1:4" ht="17.399999999999999" x14ac:dyDescent="0.3">
      <c r="A11" s="6" t="s">
        <v>8</v>
      </c>
      <c r="B11" s="7">
        <v>4</v>
      </c>
      <c r="C11" s="8"/>
    </row>
    <row r="12" spans="1:4" ht="21.6" customHeight="1" x14ac:dyDescent="0.3">
      <c r="A12" s="6" t="s">
        <v>9</v>
      </c>
      <c r="B12" s="7">
        <v>4</v>
      </c>
      <c r="C12" s="8"/>
    </row>
    <row r="13" spans="1:4" ht="17.399999999999999" x14ac:dyDescent="0.3">
      <c r="A13" s="6" t="s">
        <v>10</v>
      </c>
      <c r="B13" s="7">
        <v>4</v>
      </c>
      <c r="C13" s="8"/>
    </row>
    <row r="14" spans="1:4" ht="17.399999999999999" x14ac:dyDescent="0.3">
      <c r="A14" s="9" t="s">
        <v>11</v>
      </c>
      <c r="B14" s="10">
        <f>SUM(B6:B13)</f>
        <v>40</v>
      </c>
      <c r="C14" s="8"/>
    </row>
    <row r="15" spans="1:4" ht="17.399999999999999" x14ac:dyDescent="0.3">
      <c r="A15" s="18"/>
      <c r="B15" s="19"/>
    </row>
    <row r="16" spans="1:4" ht="17.399999999999999" x14ac:dyDescent="0.35">
      <c r="A16" s="2" t="s">
        <v>12</v>
      </c>
      <c r="B16" s="3"/>
      <c r="C16" s="3"/>
    </row>
    <row r="17" spans="1:3" ht="16.8" x14ac:dyDescent="0.3">
      <c r="A17" s="4" t="s">
        <v>1</v>
      </c>
      <c r="B17" s="5" t="s">
        <v>2</v>
      </c>
      <c r="C17" s="5" t="s">
        <v>3</v>
      </c>
    </row>
    <row r="18" spans="1:3" ht="17.399999999999999" x14ac:dyDescent="0.3">
      <c r="A18" s="6" t="s">
        <v>26</v>
      </c>
      <c r="B18" s="7">
        <v>4</v>
      </c>
      <c r="C18" s="8"/>
    </row>
    <row r="19" spans="1:3" ht="17.399999999999999" x14ac:dyDescent="0.3">
      <c r="A19" s="6" t="s">
        <v>45</v>
      </c>
      <c r="B19" s="7">
        <v>4</v>
      </c>
      <c r="C19" s="8"/>
    </row>
    <row r="20" spans="1:3" ht="17.399999999999999" x14ac:dyDescent="0.3">
      <c r="A20" s="6" t="s">
        <v>13</v>
      </c>
      <c r="B20" s="7">
        <v>4</v>
      </c>
      <c r="C20" s="8"/>
    </row>
    <row r="21" spans="1:3" ht="17.399999999999999" x14ac:dyDescent="0.3">
      <c r="A21" s="6" t="s">
        <v>14</v>
      </c>
      <c r="B21" s="7">
        <v>18</v>
      </c>
      <c r="C21" s="8"/>
    </row>
    <row r="22" spans="1:3" ht="17.399999999999999" x14ac:dyDescent="0.3">
      <c r="A22" s="6" t="s">
        <v>16</v>
      </c>
      <c r="B22" s="7">
        <v>8</v>
      </c>
      <c r="C22" s="8"/>
    </row>
    <row r="23" spans="1:3" ht="17.399999999999999" x14ac:dyDescent="0.3">
      <c r="A23" s="6" t="s">
        <v>17</v>
      </c>
      <c r="B23" s="7">
        <v>15</v>
      </c>
      <c r="C23" s="8"/>
    </row>
    <row r="24" spans="1:3" ht="17.399999999999999" x14ac:dyDescent="0.3">
      <c r="A24" s="14" t="s">
        <v>30</v>
      </c>
      <c r="B24" s="15">
        <v>4</v>
      </c>
      <c r="C24" s="15" t="s">
        <v>36</v>
      </c>
    </row>
    <row r="25" spans="1:3" ht="17.399999999999999" x14ac:dyDescent="0.3">
      <c r="A25" s="6" t="s">
        <v>18</v>
      </c>
      <c r="B25" s="7">
        <v>6</v>
      </c>
      <c r="C25" s="8"/>
    </row>
    <row r="26" spans="1:3" ht="17.399999999999999" x14ac:dyDescent="0.3">
      <c r="A26" s="12" t="s">
        <v>19</v>
      </c>
      <c r="B26" s="10">
        <f>SUM(B18:B25)</f>
        <v>63</v>
      </c>
      <c r="C26" s="8"/>
    </row>
    <row r="27" spans="1:3" ht="17.399999999999999" x14ac:dyDescent="0.3">
      <c r="A27" s="6"/>
      <c r="B27" s="7"/>
      <c r="C27" s="8"/>
    </row>
    <row r="28" spans="1:3" ht="17.399999999999999" x14ac:dyDescent="0.35">
      <c r="A28" s="2" t="s">
        <v>35</v>
      </c>
      <c r="B28" s="3"/>
      <c r="C28" s="3"/>
    </row>
    <row r="29" spans="1:3" ht="16.8" x14ac:dyDescent="0.3">
      <c r="A29" s="4" t="s">
        <v>1</v>
      </c>
      <c r="B29" s="5" t="s">
        <v>2</v>
      </c>
      <c r="C29" s="5" t="s">
        <v>3</v>
      </c>
    </row>
    <row r="30" spans="1:3" ht="17.399999999999999" x14ac:dyDescent="0.3">
      <c r="A30" s="14" t="s">
        <v>32</v>
      </c>
      <c r="B30" s="15">
        <v>4</v>
      </c>
      <c r="C30" s="15" t="s">
        <v>36</v>
      </c>
    </row>
    <row r="31" spans="1:3" ht="17.399999999999999" x14ac:dyDescent="0.3">
      <c r="A31" s="14" t="s">
        <v>39</v>
      </c>
      <c r="B31" s="15">
        <v>4</v>
      </c>
      <c r="C31" s="15" t="s">
        <v>36</v>
      </c>
    </row>
    <row r="32" spans="1:3" ht="17.399999999999999" x14ac:dyDescent="0.3">
      <c r="A32" s="12" t="s">
        <v>40</v>
      </c>
      <c r="B32" s="10">
        <f>SUM(B30:B31)</f>
        <v>8</v>
      </c>
    </row>
    <row r="34" spans="1:3" ht="17.399999999999999" x14ac:dyDescent="0.35">
      <c r="A34" s="2" t="s">
        <v>37</v>
      </c>
      <c r="B34" s="3"/>
      <c r="C34" s="3"/>
    </row>
    <row r="35" spans="1:3" ht="16.8" x14ac:dyDescent="0.3">
      <c r="A35" s="4" t="s">
        <v>1</v>
      </c>
      <c r="B35" s="5" t="s">
        <v>2</v>
      </c>
      <c r="C35" s="5" t="s">
        <v>3</v>
      </c>
    </row>
    <row r="36" spans="1:3" ht="17.399999999999999" x14ac:dyDescent="0.3">
      <c r="A36" s="6" t="s">
        <v>57</v>
      </c>
      <c r="B36" s="7">
        <v>4</v>
      </c>
      <c r="C36" s="6"/>
    </row>
    <row r="37" spans="1:3" ht="17.399999999999999" x14ac:dyDescent="0.3">
      <c r="A37" s="12" t="s">
        <v>33</v>
      </c>
      <c r="B37" s="10">
        <f>SUM(B36)</f>
        <v>4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E936-8BA3-4CC9-8A43-8A7F8EEC42B4}">
  <dimension ref="A1:D39"/>
  <sheetViews>
    <sheetView workbookViewId="0">
      <selection activeCell="D24" sqref="D24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55</v>
      </c>
      <c r="B1" s="22"/>
      <c r="C1" s="22"/>
    </row>
    <row r="2" spans="1:4" ht="55.2" customHeight="1" x14ac:dyDescent="0.3">
      <c r="A2" s="22"/>
      <c r="B2" s="22"/>
      <c r="C2" s="22"/>
      <c r="D2" s="1"/>
    </row>
    <row r="3" spans="1:4" ht="15" customHeight="1" x14ac:dyDescent="0.3">
      <c r="A3" s="16"/>
      <c r="B3" s="17"/>
      <c r="C3" s="17"/>
      <c r="D3" s="1"/>
    </row>
    <row r="4" spans="1:4" ht="17.399999999999999" x14ac:dyDescent="0.35">
      <c r="A4" s="2" t="s">
        <v>0</v>
      </c>
      <c r="B4" s="3"/>
      <c r="C4" s="3"/>
    </row>
    <row r="5" spans="1:4" ht="16.8" x14ac:dyDescent="0.3">
      <c r="A5" s="4" t="s">
        <v>1</v>
      </c>
      <c r="B5" s="5" t="s">
        <v>2</v>
      </c>
      <c r="C5" s="5" t="s">
        <v>3</v>
      </c>
    </row>
    <row r="6" spans="1:4" ht="17.399999999999999" x14ac:dyDescent="0.3">
      <c r="A6" s="6" t="s">
        <v>4</v>
      </c>
      <c r="B6" s="7">
        <v>6</v>
      </c>
      <c r="C6" s="8"/>
    </row>
    <row r="7" spans="1:4" ht="17.399999999999999" x14ac:dyDescent="0.3">
      <c r="A7" s="6" t="s">
        <v>5</v>
      </c>
      <c r="B7" s="7">
        <v>5</v>
      </c>
      <c r="C7" s="8"/>
    </row>
    <row r="8" spans="1:4" ht="17.399999999999999" x14ac:dyDescent="0.3">
      <c r="A8" s="6" t="s">
        <v>6</v>
      </c>
      <c r="B8" s="7">
        <v>4</v>
      </c>
      <c r="C8" s="8"/>
    </row>
    <row r="9" spans="1:4" ht="17.399999999999999" x14ac:dyDescent="0.3">
      <c r="A9" s="6" t="s">
        <v>20</v>
      </c>
      <c r="B9" s="7">
        <v>4</v>
      </c>
      <c r="C9" s="8"/>
    </row>
    <row r="10" spans="1:4" ht="17.399999999999999" x14ac:dyDescent="0.3">
      <c r="A10" s="6" t="s">
        <v>56</v>
      </c>
      <c r="B10" s="7">
        <v>4</v>
      </c>
      <c r="C10" s="8"/>
    </row>
    <row r="11" spans="1:4" ht="17.399999999999999" x14ac:dyDescent="0.3">
      <c r="A11" s="6" t="s">
        <v>9</v>
      </c>
      <c r="B11" s="7">
        <v>4</v>
      </c>
      <c r="C11" s="8"/>
    </row>
    <row r="12" spans="1:4" ht="17.399999999999999" x14ac:dyDescent="0.3">
      <c r="A12" s="6" t="s">
        <v>10</v>
      </c>
      <c r="B12" s="7">
        <v>4</v>
      </c>
      <c r="C12" s="8"/>
    </row>
    <row r="13" spans="1:4" ht="17.399999999999999" x14ac:dyDescent="0.3">
      <c r="A13" s="9" t="s">
        <v>11</v>
      </c>
      <c r="B13" s="21">
        <f>SUM(B6:B12)</f>
        <v>31</v>
      </c>
    </row>
    <row r="15" spans="1:4" ht="17.399999999999999" x14ac:dyDescent="0.35">
      <c r="A15" s="2" t="s">
        <v>12</v>
      </c>
      <c r="B15" s="3"/>
      <c r="C15" s="3"/>
    </row>
    <row r="16" spans="1:4" ht="16.8" x14ac:dyDescent="0.3">
      <c r="A16" s="4" t="s">
        <v>1</v>
      </c>
      <c r="B16" s="5" t="s">
        <v>2</v>
      </c>
      <c r="C16" s="5" t="s">
        <v>3</v>
      </c>
    </row>
    <row r="17" spans="1:3" ht="17.399999999999999" x14ac:dyDescent="0.3">
      <c r="A17" s="6" t="s">
        <v>14</v>
      </c>
      <c r="B17" s="7">
        <v>4</v>
      </c>
      <c r="C17" s="8"/>
    </row>
    <row r="18" spans="1:3" ht="17.399999999999999" x14ac:dyDescent="0.3">
      <c r="A18" s="6" t="s">
        <v>46</v>
      </c>
      <c r="B18" s="7">
        <v>4</v>
      </c>
      <c r="C18" s="8"/>
    </row>
    <row r="19" spans="1:3" ht="17.399999999999999" x14ac:dyDescent="0.3">
      <c r="A19" s="6" t="s">
        <v>16</v>
      </c>
      <c r="B19" s="7">
        <v>6</v>
      </c>
      <c r="C19" s="8"/>
    </row>
    <row r="20" spans="1:3" ht="17.399999999999999" x14ac:dyDescent="0.3">
      <c r="A20" s="6" t="s">
        <v>17</v>
      </c>
      <c r="B20" s="7">
        <v>4</v>
      </c>
      <c r="C20" s="8"/>
    </row>
    <row r="21" spans="1:3" ht="17.399999999999999" x14ac:dyDescent="0.3">
      <c r="A21" s="6" t="s">
        <v>31</v>
      </c>
      <c r="B21" s="7">
        <v>4</v>
      </c>
      <c r="C21" s="8"/>
    </row>
    <row r="22" spans="1:3" ht="17.399999999999999" x14ac:dyDescent="0.3">
      <c r="A22" s="6" t="s">
        <v>18</v>
      </c>
      <c r="B22" s="7">
        <v>8</v>
      </c>
      <c r="C22" s="8"/>
    </row>
    <row r="23" spans="1:3" ht="17.399999999999999" x14ac:dyDescent="0.3">
      <c r="A23" s="12" t="s">
        <v>19</v>
      </c>
      <c r="B23" s="10">
        <f>SUM(B17:B22)</f>
        <v>30</v>
      </c>
    </row>
    <row r="24" spans="1:3" ht="17.399999999999999" x14ac:dyDescent="0.3">
      <c r="A24" s="20"/>
      <c r="B24" s="19"/>
    </row>
    <row r="25" spans="1:3" ht="17.399999999999999" x14ac:dyDescent="0.35">
      <c r="A25" s="2" t="s">
        <v>37</v>
      </c>
      <c r="B25" s="3"/>
      <c r="C25" s="3"/>
    </row>
    <row r="26" spans="1:3" ht="16.8" x14ac:dyDescent="0.3">
      <c r="A26" s="4" t="s">
        <v>1</v>
      </c>
      <c r="B26" s="5" t="s">
        <v>2</v>
      </c>
      <c r="C26" s="5" t="s">
        <v>3</v>
      </c>
    </row>
    <row r="27" spans="1:3" ht="17.399999999999999" x14ac:dyDescent="0.3">
      <c r="A27" s="6" t="s">
        <v>57</v>
      </c>
      <c r="B27" s="7">
        <v>4</v>
      </c>
      <c r="C27" s="8"/>
    </row>
    <row r="28" spans="1:3" ht="17.399999999999999" x14ac:dyDescent="0.3">
      <c r="A28" s="12" t="s">
        <v>33</v>
      </c>
      <c r="B28" s="10">
        <f>SUM(B27)</f>
        <v>4</v>
      </c>
    </row>
    <row r="30" spans="1:3" ht="17.399999999999999" x14ac:dyDescent="0.35">
      <c r="A30" s="2" t="s">
        <v>35</v>
      </c>
      <c r="B30" s="3"/>
      <c r="C30" s="3"/>
    </row>
    <row r="31" spans="1:3" ht="16.8" x14ac:dyDescent="0.3">
      <c r="A31" s="4" t="s">
        <v>1</v>
      </c>
      <c r="B31" s="5" t="s">
        <v>2</v>
      </c>
      <c r="C31" s="5" t="s">
        <v>3</v>
      </c>
    </row>
    <row r="32" spans="1:3" ht="17.399999999999999" x14ac:dyDescent="0.3">
      <c r="A32" s="6" t="s">
        <v>32</v>
      </c>
      <c r="B32" s="7">
        <v>5</v>
      </c>
      <c r="C32" s="8"/>
    </row>
    <row r="33" spans="1:3" ht="17.399999999999999" x14ac:dyDescent="0.3">
      <c r="A33" s="12" t="s">
        <v>40</v>
      </c>
      <c r="B33" s="10">
        <f>SUM(B32)</f>
        <v>5</v>
      </c>
    </row>
    <row r="35" spans="1:3" ht="17.399999999999999" x14ac:dyDescent="0.35">
      <c r="A35" s="2" t="s">
        <v>38</v>
      </c>
      <c r="B35" s="3"/>
      <c r="C35" s="3"/>
    </row>
    <row r="36" spans="1:3" ht="16.8" x14ac:dyDescent="0.3">
      <c r="A36" s="4" t="s">
        <v>1</v>
      </c>
      <c r="B36" s="5" t="s">
        <v>2</v>
      </c>
      <c r="C36" s="5" t="s">
        <v>3</v>
      </c>
    </row>
    <row r="37" spans="1:3" ht="17.399999999999999" x14ac:dyDescent="0.3">
      <c r="A37" s="14" t="s">
        <v>58</v>
      </c>
      <c r="B37" s="15">
        <v>1</v>
      </c>
      <c r="C37" s="15" t="s">
        <v>36</v>
      </c>
    </row>
    <row r="38" spans="1:3" ht="17.399999999999999" x14ac:dyDescent="0.3">
      <c r="A38" s="14" t="s">
        <v>49</v>
      </c>
      <c r="B38" s="15">
        <v>1</v>
      </c>
      <c r="C38" s="15" t="s">
        <v>36</v>
      </c>
    </row>
    <row r="39" spans="1:3" ht="17.399999999999999" x14ac:dyDescent="0.3">
      <c r="A39" s="9" t="s">
        <v>34</v>
      </c>
      <c r="B39" s="10">
        <f>SUM(B37:B38)</f>
        <v>2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1E43-1DA9-417D-B555-C6C011506FF5}">
  <dimension ref="A1:D38"/>
  <sheetViews>
    <sheetView workbookViewId="0">
      <selection activeCell="D19" sqref="D19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71</v>
      </c>
      <c r="B1" s="22"/>
      <c r="C1" s="22"/>
    </row>
    <row r="2" spans="1:4" ht="55.2" customHeight="1" x14ac:dyDescent="0.3">
      <c r="A2" s="22"/>
      <c r="B2" s="22"/>
      <c r="C2" s="22"/>
      <c r="D2" s="1"/>
    </row>
    <row r="3" spans="1:4" ht="17.399999999999999" x14ac:dyDescent="0.35">
      <c r="A3" s="2" t="s">
        <v>0</v>
      </c>
      <c r="B3" s="3"/>
      <c r="C3" s="3"/>
    </row>
    <row r="4" spans="1:4" ht="16.8" x14ac:dyDescent="0.3">
      <c r="A4" s="4" t="s">
        <v>1</v>
      </c>
      <c r="B4" s="5" t="s">
        <v>2</v>
      </c>
      <c r="C4" s="5" t="s">
        <v>3</v>
      </c>
    </row>
    <row r="5" spans="1:4" ht="17.399999999999999" x14ac:dyDescent="0.3">
      <c r="A5" s="6" t="s">
        <v>4</v>
      </c>
      <c r="B5" s="7">
        <v>8</v>
      </c>
      <c r="C5" s="8"/>
    </row>
    <row r="6" spans="1:4" ht="17.399999999999999" x14ac:dyDescent="0.3">
      <c r="A6" s="6" t="s">
        <v>5</v>
      </c>
      <c r="B6" s="7">
        <v>9</v>
      </c>
      <c r="C6" s="8"/>
    </row>
    <row r="7" spans="1:4" ht="17.399999999999999" x14ac:dyDescent="0.3">
      <c r="A7" s="6" t="s">
        <v>24</v>
      </c>
      <c r="B7" s="7">
        <v>6</v>
      </c>
      <c r="C7" s="8"/>
    </row>
    <row r="8" spans="1:4" ht="17.399999999999999" x14ac:dyDescent="0.3">
      <c r="A8" s="6" t="s">
        <v>8</v>
      </c>
      <c r="B8" s="7">
        <v>8</v>
      </c>
      <c r="C8" s="8"/>
    </row>
    <row r="9" spans="1:4" ht="17.399999999999999" x14ac:dyDescent="0.3">
      <c r="A9" s="9" t="s">
        <v>11</v>
      </c>
      <c r="B9" s="10">
        <f>SUM(B5:B8)</f>
        <v>31</v>
      </c>
      <c r="C9" s="8"/>
    </row>
    <row r="10" spans="1:4" ht="17.399999999999999" x14ac:dyDescent="0.3">
      <c r="A10" s="18"/>
      <c r="B10" s="19"/>
    </row>
    <row r="11" spans="1:4" ht="17.399999999999999" x14ac:dyDescent="0.35">
      <c r="A11" s="2" t="s">
        <v>51</v>
      </c>
      <c r="B11" s="3"/>
      <c r="C11" s="3"/>
    </row>
    <row r="12" spans="1:4" ht="16.8" x14ac:dyDescent="0.3">
      <c r="A12" s="4" t="s">
        <v>1</v>
      </c>
      <c r="B12" s="5" t="s">
        <v>2</v>
      </c>
      <c r="C12" s="5" t="s">
        <v>3</v>
      </c>
    </row>
    <row r="13" spans="1:4" ht="17.399999999999999" x14ac:dyDescent="0.3">
      <c r="A13" s="6" t="s">
        <v>72</v>
      </c>
      <c r="B13" s="7">
        <v>6</v>
      </c>
      <c r="C13" s="8"/>
    </row>
    <row r="14" spans="1:4" ht="17.399999999999999" x14ac:dyDescent="0.3">
      <c r="A14" s="9" t="s">
        <v>25</v>
      </c>
      <c r="B14" s="10">
        <f>SUM(B10:B13)</f>
        <v>6</v>
      </c>
    </row>
    <row r="16" spans="1:4" ht="17.399999999999999" x14ac:dyDescent="0.35">
      <c r="A16" s="2" t="s">
        <v>12</v>
      </c>
      <c r="B16" s="3"/>
      <c r="C16" s="3"/>
    </row>
    <row r="17" spans="1:3" ht="16.8" x14ac:dyDescent="0.3">
      <c r="A17" s="4" t="s">
        <v>1</v>
      </c>
      <c r="B17" s="5" t="s">
        <v>2</v>
      </c>
      <c r="C17" s="5" t="s">
        <v>3</v>
      </c>
    </row>
    <row r="18" spans="1:3" ht="17.399999999999999" x14ac:dyDescent="0.3">
      <c r="A18" s="6" t="s">
        <v>44</v>
      </c>
      <c r="B18" s="7">
        <v>6</v>
      </c>
      <c r="C18" s="8"/>
    </row>
    <row r="19" spans="1:3" ht="17.399999999999999" x14ac:dyDescent="0.3">
      <c r="A19" s="6" t="s">
        <v>14</v>
      </c>
      <c r="B19" s="7">
        <v>10</v>
      </c>
      <c r="C19" s="8"/>
    </row>
    <row r="20" spans="1:3" ht="17.399999999999999" x14ac:dyDescent="0.3">
      <c r="A20" s="6" t="s">
        <v>15</v>
      </c>
      <c r="B20" s="7">
        <v>6</v>
      </c>
      <c r="C20" s="8"/>
    </row>
    <row r="21" spans="1:3" ht="17.399999999999999" x14ac:dyDescent="0.3">
      <c r="A21" s="6" t="s">
        <v>17</v>
      </c>
      <c r="B21" s="7">
        <v>6</v>
      </c>
      <c r="C21" s="8"/>
    </row>
    <row r="22" spans="1:3" ht="17.399999999999999" x14ac:dyDescent="0.3">
      <c r="A22" s="6" t="s">
        <v>31</v>
      </c>
      <c r="B22" s="7">
        <v>6</v>
      </c>
    </row>
    <row r="23" spans="1:3" ht="17.399999999999999" x14ac:dyDescent="0.3">
      <c r="A23" s="12" t="s">
        <v>19</v>
      </c>
      <c r="B23" s="10">
        <f>SUM(B18:B22)</f>
        <v>34</v>
      </c>
    </row>
    <row r="25" spans="1:3" ht="17.399999999999999" x14ac:dyDescent="0.35">
      <c r="A25" s="2" t="s">
        <v>35</v>
      </c>
      <c r="B25" s="3"/>
      <c r="C25" s="3"/>
    </row>
    <row r="26" spans="1:3" ht="16.8" x14ac:dyDescent="0.3">
      <c r="A26" s="4" t="s">
        <v>1</v>
      </c>
      <c r="B26" s="5" t="s">
        <v>2</v>
      </c>
      <c r="C26" s="5" t="s">
        <v>3</v>
      </c>
    </row>
    <row r="27" spans="1:3" ht="17.399999999999999" x14ac:dyDescent="0.3">
      <c r="A27" s="14" t="s">
        <v>32</v>
      </c>
      <c r="B27" s="15">
        <v>6</v>
      </c>
      <c r="C27" s="15" t="s">
        <v>36</v>
      </c>
    </row>
    <row r="28" spans="1:3" ht="17.399999999999999" x14ac:dyDescent="0.3">
      <c r="A28" s="12" t="s">
        <v>40</v>
      </c>
      <c r="B28" s="10">
        <f>SUM(B27:B27)</f>
        <v>6</v>
      </c>
    </row>
    <row r="30" spans="1:3" ht="17.399999999999999" x14ac:dyDescent="0.35">
      <c r="A30" s="2" t="s">
        <v>37</v>
      </c>
      <c r="B30" s="3"/>
      <c r="C30" s="3"/>
    </row>
    <row r="31" spans="1:3" ht="16.8" x14ac:dyDescent="0.3">
      <c r="A31" s="4" t="s">
        <v>1</v>
      </c>
      <c r="B31" s="5" t="s">
        <v>2</v>
      </c>
      <c r="C31" s="5" t="s">
        <v>3</v>
      </c>
    </row>
    <row r="32" spans="1:3" ht="17.399999999999999" x14ac:dyDescent="0.3">
      <c r="A32" s="6" t="s">
        <v>57</v>
      </c>
      <c r="B32" s="7">
        <v>6</v>
      </c>
      <c r="C32" s="7"/>
    </row>
    <row r="33" spans="1:3" ht="17.399999999999999" x14ac:dyDescent="0.3">
      <c r="A33" s="12" t="s">
        <v>33</v>
      </c>
      <c r="B33" s="10">
        <f>SUM(B32:B32)</f>
        <v>6</v>
      </c>
    </row>
    <row r="35" spans="1:3" ht="17.399999999999999" x14ac:dyDescent="0.35">
      <c r="A35" s="2" t="s">
        <v>38</v>
      </c>
      <c r="B35" s="3"/>
      <c r="C35" s="3"/>
    </row>
    <row r="36" spans="1:3" ht="16.8" x14ac:dyDescent="0.3">
      <c r="A36" s="4" t="s">
        <v>1</v>
      </c>
      <c r="B36" s="5" t="s">
        <v>2</v>
      </c>
      <c r="C36" s="5" t="s">
        <v>3</v>
      </c>
    </row>
    <row r="37" spans="1:3" ht="34.799999999999997" x14ac:dyDescent="0.3">
      <c r="A37" s="14" t="s">
        <v>48</v>
      </c>
      <c r="B37" s="15">
        <v>1</v>
      </c>
      <c r="C37" s="15" t="s">
        <v>36</v>
      </c>
    </row>
    <row r="38" spans="1:3" ht="17.399999999999999" x14ac:dyDescent="0.3">
      <c r="A38" s="12" t="s">
        <v>34</v>
      </c>
      <c r="B38" s="10">
        <f>SUM(B37:B37)</f>
        <v>1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F65E-5446-4C37-881A-C57933C0DC98}">
  <dimension ref="A1:D23"/>
  <sheetViews>
    <sheetView tabSelected="1" workbookViewId="0">
      <selection activeCell="D12" sqref="D12"/>
    </sheetView>
  </sheetViews>
  <sheetFormatPr defaultColWidth="33.33203125" defaultRowHeight="14.4" x14ac:dyDescent="0.3"/>
  <cols>
    <col min="1" max="1" width="41.33203125" style="13" customWidth="1"/>
    <col min="2" max="2" width="28.109375" style="11" customWidth="1"/>
    <col min="3" max="3" width="19.33203125" style="11" customWidth="1"/>
  </cols>
  <sheetData>
    <row r="1" spans="1:4" x14ac:dyDescent="0.3">
      <c r="A1" s="22" t="s">
        <v>78</v>
      </c>
      <c r="B1" s="22"/>
      <c r="C1" s="22"/>
    </row>
    <row r="2" spans="1:4" ht="55.2" customHeight="1" x14ac:dyDescent="0.3">
      <c r="A2" s="22"/>
      <c r="B2" s="22"/>
      <c r="C2" s="22"/>
      <c r="D2" s="1"/>
    </row>
    <row r="3" spans="1:4" ht="13.8" customHeight="1" x14ac:dyDescent="0.3">
      <c r="A3" s="16"/>
      <c r="B3" s="17"/>
      <c r="C3" s="17"/>
      <c r="D3" s="1"/>
    </row>
    <row r="4" spans="1:4" ht="17.399999999999999" x14ac:dyDescent="0.35">
      <c r="A4" s="2" t="s">
        <v>12</v>
      </c>
      <c r="B4" s="3"/>
      <c r="C4" s="3"/>
    </row>
    <row r="5" spans="1:4" ht="16.8" x14ac:dyDescent="0.3">
      <c r="A5" s="4" t="s">
        <v>1</v>
      </c>
      <c r="B5" s="5" t="s">
        <v>2</v>
      </c>
      <c r="C5" s="5" t="s">
        <v>3</v>
      </c>
    </row>
    <row r="6" spans="1:4" ht="17.399999999999999" x14ac:dyDescent="0.3">
      <c r="A6" s="6" t="s">
        <v>44</v>
      </c>
      <c r="B6" s="7">
        <v>5</v>
      </c>
      <c r="C6" s="8"/>
    </row>
    <row r="7" spans="1:4" ht="17.399999999999999" x14ac:dyDescent="0.3">
      <c r="A7" s="6" t="s">
        <v>27</v>
      </c>
      <c r="B7" s="7">
        <v>5</v>
      </c>
      <c r="C7" s="8"/>
    </row>
    <row r="8" spans="1:4" ht="17.399999999999999" x14ac:dyDescent="0.3">
      <c r="A8" s="6" t="s">
        <v>28</v>
      </c>
      <c r="B8" s="7">
        <v>7</v>
      </c>
      <c r="C8" s="8"/>
    </row>
    <row r="9" spans="1:4" ht="17.399999999999999" x14ac:dyDescent="0.3">
      <c r="A9" s="6" t="s">
        <v>61</v>
      </c>
      <c r="B9" s="7">
        <v>7</v>
      </c>
      <c r="C9" s="8"/>
    </row>
    <row r="10" spans="1:4" ht="17.399999999999999" x14ac:dyDescent="0.3">
      <c r="A10" s="6" t="s">
        <v>14</v>
      </c>
      <c r="B10" s="7">
        <v>10</v>
      </c>
      <c r="C10" s="8"/>
    </row>
    <row r="11" spans="1:4" ht="17.399999999999999" x14ac:dyDescent="0.3">
      <c r="A11" s="6" t="s">
        <v>46</v>
      </c>
      <c r="B11" s="7">
        <v>10</v>
      </c>
      <c r="C11" s="8"/>
    </row>
    <row r="12" spans="1:4" ht="17.399999999999999" x14ac:dyDescent="0.3">
      <c r="A12" s="6" t="s">
        <v>16</v>
      </c>
      <c r="B12" s="7">
        <v>10</v>
      </c>
      <c r="C12" s="8"/>
    </row>
    <row r="13" spans="1:4" ht="17.399999999999999" x14ac:dyDescent="0.3">
      <c r="A13" s="6" t="s">
        <v>29</v>
      </c>
      <c r="B13" s="7">
        <v>7</v>
      </c>
      <c r="C13" s="8"/>
    </row>
    <row r="14" spans="1:4" ht="17.399999999999999" x14ac:dyDescent="0.3">
      <c r="A14" s="6" t="s">
        <v>17</v>
      </c>
      <c r="B14" s="7">
        <v>10</v>
      </c>
      <c r="C14" s="8"/>
    </row>
    <row r="15" spans="1:4" ht="17.399999999999999" x14ac:dyDescent="0.3">
      <c r="A15" s="14" t="s">
        <v>30</v>
      </c>
      <c r="B15" s="15">
        <v>7</v>
      </c>
      <c r="C15" s="15" t="s">
        <v>36</v>
      </c>
    </row>
    <row r="16" spans="1:4" ht="17.399999999999999" x14ac:dyDescent="0.3">
      <c r="A16" s="6" t="s">
        <v>22</v>
      </c>
      <c r="B16" s="7">
        <v>10</v>
      </c>
      <c r="C16" s="8"/>
    </row>
    <row r="17" spans="1:3" ht="17.399999999999999" x14ac:dyDescent="0.3">
      <c r="A17" s="6" t="s">
        <v>18</v>
      </c>
      <c r="B17" s="7">
        <v>10</v>
      </c>
      <c r="C17" s="8"/>
    </row>
    <row r="18" spans="1:3" ht="17.399999999999999" x14ac:dyDescent="0.3">
      <c r="A18" s="12" t="s">
        <v>19</v>
      </c>
      <c r="B18" s="10">
        <f>SUM(B6:B17)</f>
        <v>98</v>
      </c>
    </row>
    <row r="19" spans="1:3" ht="17.399999999999999" x14ac:dyDescent="0.35">
      <c r="A19" s="2" t="s">
        <v>75</v>
      </c>
      <c r="B19" s="3"/>
      <c r="C19" s="3"/>
    </row>
    <row r="20" spans="1:3" ht="16.8" x14ac:dyDescent="0.3">
      <c r="A20" s="4" t="s">
        <v>1</v>
      </c>
      <c r="B20" s="5" t="s">
        <v>2</v>
      </c>
      <c r="C20" s="5" t="s">
        <v>3</v>
      </c>
    </row>
    <row r="21" spans="1:3" ht="34.799999999999997" x14ac:dyDescent="0.3">
      <c r="A21" s="14" t="s">
        <v>73</v>
      </c>
      <c r="B21" s="15">
        <v>1</v>
      </c>
      <c r="C21" s="15" t="s">
        <v>77</v>
      </c>
    </row>
    <row r="22" spans="1:3" ht="34.799999999999997" x14ac:dyDescent="0.3">
      <c r="A22" s="14" t="s">
        <v>74</v>
      </c>
      <c r="B22" s="15">
        <v>1</v>
      </c>
      <c r="C22" s="15" t="s">
        <v>77</v>
      </c>
    </row>
    <row r="23" spans="1:3" ht="17.399999999999999" x14ac:dyDescent="0.3">
      <c r="A23" s="12" t="s">
        <v>76</v>
      </c>
      <c r="B23" s="10">
        <f>SUM(B21:B22)</f>
        <v>2</v>
      </c>
    </row>
  </sheetData>
  <mergeCells count="1">
    <mergeCell ref="A1:C2"/>
  </mergeCells>
  <pageMargins left="0.7" right="0.7" top="0.37" bottom="0.18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CORTELYOY</vt:lpstr>
      <vt:lpstr>5TH AVE</vt:lpstr>
      <vt:lpstr>34TH MOKA</vt:lpstr>
      <vt:lpstr>STATEN ISLAND</vt:lpstr>
      <vt:lpstr>403 BEACH</vt:lpstr>
      <vt:lpstr>ELM</vt:lpstr>
      <vt:lpstr>SPRINKLES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Franco</dc:creator>
  <cp:lastModifiedBy>Christian Franco</cp:lastModifiedBy>
  <cp:lastPrinted>2026-06-15T19:48:08Z</cp:lastPrinted>
  <dcterms:created xsi:type="dcterms:W3CDTF">2026-06-05T17:47:51Z</dcterms:created>
  <dcterms:modified xsi:type="dcterms:W3CDTF">2026-06-15T20:37:09Z</dcterms:modified>
</cp:coreProperties>
</file>